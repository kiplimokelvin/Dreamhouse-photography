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ages" sheetId="1" state="visible" r:id="rId3"/>
    <sheet name="Bookings" sheetId="2" state="visible" r:id="rId4"/>
    <sheet name="Launch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<sst xmlns="http://schemas.openxmlformats.org/spreadsheetml/2006/main" count="56" uniqueCount="53">
  <si>
    <t xml:space="preserve">Frame Ten: packages and prices</t>
  </si>
  <si>
    <t xml:space="preserve">Blue cells are inputs you can change. Prices are starting suggestions, not market data. Adjust them to what students near you will pay.</t>
  </si>
  <si>
    <t xml:space="preserve">Package</t>
  </si>
  <si>
    <t xml:space="preserve">Price (KES)</t>
  </si>
  <si>
    <t xml:space="preserve">Edited photos</t>
  </si>
  <si>
    <t xml:space="preserve">What the student gets</t>
  </si>
  <si>
    <t xml:space="preserve">Quick</t>
  </si>
  <si>
    <t xml:space="preserve">1 edited photo on a plain light background. Right for forms and IDs.</t>
  </si>
  <si>
    <t xml:space="preserve">Application</t>
  </si>
  <si>
    <t xml:space="preserve">2 poses, 1 outfit change. CV, LinkedIn and email sizes.</t>
  </si>
  <si>
    <t xml:space="preserve">Pair (per person)</t>
  </si>
  <si>
    <t xml:space="preserve">Two friends in one slot, take turns, split the cost.</t>
  </si>
  <si>
    <t xml:space="preserve">Graduation / portfolio</t>
  </si>
  <si>
    <t xml:space="preserve">20 minute shoot. Photo count is a suggestion.</t>
  </si>
  <si>
    <t xml:space="preserve">Promise: ten minute slot, edited photos on WhatsApp the same day, pay by M-Pesa after the student has the photos.</t>
  </si>
  <si>
    <t xml:space="preserve">Note: payment-after-delivery and the 3 hour turnaround are the offer as designed, not figures from any source.</t>
  </si>
  <si>
    <t xml:space="preserve">Booking tracker</t>
  </si>
  <si>
    <t xml:space="preserve">How to use: fill the yellow columns (Date, Name, Package, For, Paid). Price and totals fill themselves. Row 12 is an example, so overwrite it with your first real booking.</t>
  </si>
  <si>
    <t xml:space="preserve">Bookings</t>
  </si>
  <si>
    <t xml:space="preserve">Booked value (KES)</t>
  </si>
  <si>
    <t xml:space="preserve">Collected (KES)</t>
  </si>
  <si>
    <t xml:space="preserve">Still to collect (KES)</t>
  </si>
  <si>
    <t xml:space="preserve">Date</t>
  </si>
  <si>
    <t xml:space="preserve">Student name</t>
  </si>
  <si>
    <t xml:space="preserve">For</t>
  </si>
  <si>
    <t xml:space="preserve">Paid?</t>
  </si>
  <si>
    <t xml:space="preserve">Notes</t>
  </si>
  <si>
    <t xml:space="preserve">Example: Amina W.</t>
  </si>
  <si>
    <t xml:space="preserve">Attachment application</t>
  </si>
  <si>
    <t xml:space="preserve">Yes</t>
  </si>
  <si>
    <t xml:space="preserve">Example row. Replace me.</t>
  </si>
  <si>
    <t xml:space="preserve">First week launch checklist</t>
  </si>
  <si>
    <t xml:space="preserve">Type Yes in the Done column as you go. The progress cell counts them.</t>
  </si>
  <si>
    <t xml:space="preserve">Step</t>
  </si>
  <si>
    <t xml:space="preserve">What to do</t>
  </si>
  <si>
    <t xml:space="preserve">Done?</t>
  </si>
  <si>
    <t xml:space="preserve">Connect booking</t>
  </si>
  <si>
    <t xml:space="preserve">Send the WhatsApp number so the booking page's Send button works.</t>
  </si>
  <si>
    <t xml:space="preserve">Pick two shoot spots</t>
  </si>
  <si>
    <t xml:space="preserve">Natural light: library steps and a lawn. Test each at 10:00 and 15:00.</t>
  </si>
  <si>
    <t xml:space="preserve">Set the base look</t>
  </si>
  <si>
    <t xml:space="preserve">Use the plain light background, same crop every time, so every client looks consistent.</t>
  </si>
  <si>
    <t xml:space="preserve">Free shoots</t>
  </si>
  <si>
    <t xml:space="preserve">Offer the first 5 students a free shoot in return for a testimonial and permission to show their photo.</t>
  </si>
  <si>
    <t xml:space="preserve">Share the link</t>
  </si>
  <si>
    <t xml:space="preserve">Post it in class and hostel WhatsApp groups and your status. Name the use: attachment and internship photos.</t>
  </si>
  <si>
    <t xml:space="preserve">Run a test day</t>
  </si>
  <si>
    <t xml:space="preserve">Do 5 to 8 slots, 10 minutes apart. Time how long editing takes per client.</t>
  </si>
  <si>
    <t xml:space="preserve">Collect payment</t>
  </si>
  <si>
    <t xml:space="preserve">Send edited photos first, then take the M-Pesa payment. Record it in the Bookings tab.</t>
  </si>
  <si>
    <t xml:space="preserve">Ask for referrals</t>
  </si>
  <si>
    <t xml:space="preserve">After each delivery, ask the student to send the link to one friend (Pair package).</t>
  </si>
  <si>
    <t xml:space="preserve">Progress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</si>
</sst>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General"/>
    <numFmt numFmtId="167" formatCode="ddd\ d\ m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865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47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EF1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DD5D8"/>
      </left>
      <right style="thin">
        <color rgb="FFCDD5D8"/>
      </right>
      <top style="thin">
        <color rgb="FFCDD5D8"/>
      </top>
      <bottom style="thin">
        <color rgb="FFCDD5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2"/>
      <rgbColor rgb="FFCCFFFF"/>
      <rgbColor rgb="FF660066"/>
      <rgbColor rgb="FFFF8080"/>
      <rgbColor rgb="FF0066CC"/>
      <rgbColor rgb="FFCDD5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47FF"/>
      <rgbColor rgb="FF33CCCC"/>
      <rgbColor rgb="FF99CC00"/>
      <rgbColor rgb="FFFFCC00"/>
      <rgbColor rgb="FFFF9900"/>
      <rgbColor rgb="FFFF6600"/>
      <rgbColor rgb="FF5865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200</v>
      </c>
      <c r="C5" s="6" t="n">
        <v>1</v>
      </c>
      <c r="D5" s="4" t="s">
        <v>7</v>
      </c>
    </row>
    <row r="6" customFormat="false" ht="15" hidden="false" customHeight="false" outlineLevel="0" collapsed="false">
      <c r="A6" s="4" t="s">
        <v>8</v>
      </c>
      <c r="B6" s="5" t="n">
        <v>400</v>
      </c>
      <c r="C6" s="6" t="n">
        <v>3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v>300</v>
      </c>
      <c r="C7" s="6" t="n">
        <v>3</v>
      </c>
      <c r="D7" s="4" t="s">
        <v>11</v>
      </c>
    </row>
    <row r="8" customFormat="false" ht="15" hidden="false" customHeight="false" outlineLevel="0" collapsed="false">
      <c r="A8" s="4" t="s">
        <v>12</v>
      </c>
      <c r="B8" s="5" t="n">
        <v>1500</v>
      </c>
      <c r="C8" s="6" t="n">
        <v>10</v>
      </c>
      <c r="D8" s="4" t="s">
        <v>13</v>
      </c>
    </row>
    <row r="10" customFormat="false" ht="15" hidden="false" customHeight="false" outlineLevel="0" collapsed="false">
      <c r="A10" s="7" t="s">
        <v>14</v>
      </c>
    </row>
    <row r="11" customFormat="false" ht="15" hidden="false" customHeight="false" outlineLevel="0" collapsed="false">
      <c r="A1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</row>
    <row r="5" customFormat="false" ht="15" hidden="false" customHeight="false" outlineLevel="0" collapsed="false">
      <c r="A5" s="8" t="n">
        <f aca="false">COUNTA(B12:B211)</f>
        <v>1</v>
      </c>
      <c r="B5" s="9" t="n">
        <f aca="false">SUM(E12:E211)</f>
        <v>400</v>
      </c>
      <c r="C5" s="9" t="n">
        <f aca="false">SUMIFS(E12:E211,F12:F211,"Yes")</f>
        <v>400</v>
      </c>
      <c r="D5" s="9" t="n">
        <f aca="false">B5-C5</f>
        <v>0</v>
      </c>
    </row>
    <row r="11" customFormat="false" ht="21.75" hidden="false" customHeight="true" outlineLevel="0" collapsed="false">
      <c r="A11" s="3" t="s">
        <v>22</v>
      </c>
      <c r="B11" s="3" t="s">
        <v>23</v>
      </c>
      <c r="C11" s="3" t="s">
        <v>2</v>
      </c>
      <c r="D11" s="3" t="s">
        <v>24</v>
      </c>
      <c r="E11" s="3" t="s">
        <v>3</v>
      </c>
      <c r="F11" s="3" t="s">
        <v>25</v>
      </c>
      <c r="G11" s="3" t="s">
        <v>26</v>
      </c>
    </row>
    <row r="12" customFormat="false" ht="15" hidden="false" customHeight="false" outlineLevel="0" collapsed="false">
      <c r="A12" s="10" t="n">
        <v>46307</v>
      </c>
      <c r="B12" s="11" t="s">
        <v>27</v>
      </c>
      <c r="C12" s="11" t="s">
        <v>8</v>
      </c>
      <c r="D12" s="11" t="s">
        <v>28</v>
      </c>
      <c r="E12" s="12" t="n">
        <f aca="false">IF(C12="","",IFERROR(INDEX(Packages!$B$5:$B$8,MATCH(C12,Packages!$A$5:$A$8,0)),"Check package"))</f>
        <v>400</v>
      </c>
      <c r="F12" s="11" t="s">
        <v>29</v>
      </c>
      <c r="G12" s="11" t="s">
        <v>30</v>
      </c>
    </row>
    <row r="13" customFormat="false" ht="15" hidden="false" customHeight="false" outlineLevel="0" collapsed="false">
      <c r="A13" s="10"/>
      <c r="B13" s="11"/>
      <c r="C13" s="11"/>
      <c r="D13" s="11"/>
      <c r="E13" s="12" t="str">
        <f aca="false">IF(C13="","",IFERROR(INDEX(Packages!$B$5:$B$8,MATCH(C13,Packages!$A$5:$A$8,0)),"Check package"))</f>
        <v/>
      </c>
      <c r="F13" s="11"/>
      <c r="G13" s="11"/>
    </row>
    <row r="14" customFormat="false" ht="15" hidden="false" customHeight="false" outlineLevel="0" collapsed="false">
      <c r="A14" s="10"/>
      <c r="B14" s="11"/>
      <c r="C14" s="11"/>
      <c r="D14" s="11"/>
      <c r="E14" s="12" t="str">
        <f aca="false">IF(C14="","",IFERROR(INDEX(Packages!$B$5:$B$8,MATCH(C14,Packages!$A$5:$A$8,0)),"Check package"))</f>
        <v/>
      </c>
      <c r="F14" s="11"/>
      <c r="G14" s="11"/>
    </row>
    <row r="15" customFormat="false" ht="15" hidden="false" customHeight="false" outlineLevel="0" collapsed="false">
      <c r="A15" s="10"/>
      <c r="B15" s="11"/>
      <c r="C15" s="11"/>
      <c r="D15" s="11"/>
      <c r="E15" s="12" t="str">
        <f aca="false">IF(C15="","",IFERROR(INDEX(Packages!$B$5:$B$8,MATCH(C15,Packages!$A$5:$A$8,0)),"Check package"))</f>
        <v/>
      </c>
      <c r="F15" s="11"/>
      <c r="G15" s="11"/>
    </row>
    <row r="16" customFormat="false" ht="15" hidden="false" customHeight="false" outlineLevel="0" collapsed="false">
      <c r="A16" s="10"/>
      <c r="B16" s="11"/>
      <c r="C16" s="11"/>
      <c r="D16" s="11"/>
      <c r="E16" s="12" t="str">
        <f aca="false">IF(C16="","",IFERROR(INDEX(Packages!$B$5:$B$8,MATCH(C16,Packages!$A$5:$A$8,0)),"Check package"))</f>
        <v/>
      </c>
      <c r="F16" s="11"/>
      <c r="G16" s="11"/>
    </row>
    <row r="17" customFormat="false" ht="15" hidden="false" customHeight="false" outlineLevel="0" collapsed="false">
      <c r="A17" s="10"/>
      <c r="B17" s="11"/>
      <c r="C17" s="11"/>
      <c r="D17" s="11"/>
      <c r="E17" s="12" t="str">
        <f aca="false">IF(C17="","",IFERROR(INDEX(Packages!$B$5:$B$8,MATCH(C17,Packages!$A$5:$A$8,0)),"Check package"))</f>
        <v/>
      </c>
      <c r="F17" s="11"/>
      <c r="G17" s="11"/>
    </row>
    <row r="18" customFormat="false" ht="15" hidden="false" customHeight="false" outlineLevel="0" collapsed="false">
      <c r="A18" s="10"/>
      <c r="B18" s="11"/>
      <c r="C18" s="11"/>
      <c r="D18" s="11"/>
      <c r="E18" s="12" t="str">
        <f aca="false">IF(C18="","",IFERROR(INDEX(Packages!$B$5:$B$8,MATCH(C18,Packages!$A$5:$A$8,0)),"Check package"))</f>
        <v/>
      </c>
      <c r="F18" s="11"/>
      <c r="G18" s="11"/>
    </row>
    <row r="19" customFormat="false" ht="15" hidden="false" customHeight="false" outlineLevel="0" collapsed="false">
      <c r="A19" s="10"/>
      <c r="B19" s="11"/>
      <c r="C19" s="11"/>
      <c r="D19" s="11"/>
      <c r="E19" s="12" t="str">
        <f aca="false">IF(C19="","",IFERROR(INDEX(Packages!$B$5:$B$8,MATCH(C19,Packages!$A$5:$A$8,0)),"Check package"))</f>
        <v/>
      </c>
      <c r="F19" s="11"/>
      <c r="G19" s="11"/>
    </row>
    <row r="20" customFormat="false" ht="15" hidden="false" customHeight="false" outlineLevel="0" collapsed="false">
      <c r="A20" s="10"/>
      <c r="B20" s="11"/>
      <c r="C20" s="11"/>
      <c r="D20" s="11"/>
      <c r="E20" s="12" t="str">
        <f aca="false">IF(C20="","",IFERROR(INDEX(Packages!$B$5:$B$8,MATCH(C20,Packages!$A$5:$A$8,0)),"Check package"))</f>
        <v/>
      </c>
      <c r="F20" s="11"/>
      <c r="G20" s="11"/>
    </row>
    <row r="21" customFormat="false" ht="15" hidden="false" customHeight="false" outlineLevel="0" collapsed="false">
      <c r="A21" s="10"/>
      <c r="B21" s="11"/>
      <c r="C21" s="11"/>
      <c r="D21" s="11"/>
      <c r="E21" s="12" t="str">
        <f aca="false">IF(C21="","",IFERROR(INDEX(Packages!$B$5:$B$8,MATCH(C21,Packages!$A$5:$A$8,0)),"Check package"))</f>
        <v/>
      </c>
      <c r="F21" s="11"/>
      <c r="G21" s="11"/>
    </row>
    <row r="22" customFormat="false" ht="15" hidden="false" customHeight="false" outlineLevel="0" collapsed="false">
      <c r="A22" s="10"/>
      <c r="B22" s="11"/>
      <c r="C22" s="11"/>
      <c r="D22" s="11"/>
      <c r="E22" s="12" t="str">
        <f aca="false">IF(C22="","",IFERROR(INDEX(Packages!$B$5:$B$8,MATCH(C22,Packages!$A$5:$A$8,0)),"Check package"))</f>
        <v/>
      </c>
      <c r="F22" s="11"/>
      <c r="G22" s="11"/>
    </row>
    <row r="23" customFormat="false" ht="15" hidden="false" customHeight="false" outlineLevel="0" collapsed="false">
      <c r="A23" s="10"/>
      <c r="B23" s="11"/>
      <c r="C23" s="11"/>
      <c r="D23" s="11"/>
      <c r="E23" s="12" t="str">
        <f aca="false">IF(C23="","",IFERROR(INDEX(Packages!$B$5:$B$8,MATCH(C23,Packages!$A$5:$A$8,0)),"Check package"))</f>
        <v/>
      </c>
      <c r="F23" s="11"/>
      <c r="G23" s="11"/>
    </row>
    <row r="24" customFormat="false" ht="15" hidden="false" customHeight="false" outlineLevel="0" collapsed="false">
      <c r="A24" s="10"/>
      <c r="B24" s="11"/>
      <c r="C24" s="11"/>
      <c r="D24" s="11"/>
      <c r="E24" s="12" t="str">
        <f aca="false">IF(C24="","",IFERROR(INDEX(Packages!$B$5:$B$8,MATCH(C24,Packages!$A$5:$A$8,0)),"Check package"))</f>
        <v/>
      </c>
      <c r="F24" s="11"/>
      <c r="G24" s="11"/>
    </row>
    <row r="25" customFormat="false" ht="15" hidden="false" customHeight="false" outlineLevel="0" collapsed="false">
      <c r="A25" s="10"/>
      <c r="B25" s="11"/>
      <c r="C25" s="11"/>
      <c r="D25" s="11"/>
      <c r="E25" s="12" t="str">
        <f aca="false">IF(C25="","",IFERROR(INDEX(Packages!$B$5:$B$8,MATCH(C25,Packages!$A$5:$A$8,0)),"Check package"))</f>
        <v/>
      </c>
      <c r="F25" s="11"/>
      <c r="G25" s="11"/>
    </row>
    <row r="26" customFormat="false" ht="15" hidden="false" customHeight="false" outlineLevel="0" collapsed="false">
      <c r="A26" s="10"/>
      <c r="B26" s="11"/>
      <c r="C26" s="11"/>
      <c r="D26" s="11"/>
      <c r="E26" s="12" t="str">
        <f aca="false">IF(C26="","",IFERROR(INDEX(Packages!$B$5:$B$8,MATCH(C26,Packages!$A$5:$A$8,0)),"Check package"))</f>
        <v/>
      </c>
      <c r="F26" s="11"/>
      <c r="G26" s="11"/>
    </row>
    <row r="27" customFormat="false" ht="15" hidden="false" customHeight="false" outlineLevel="0" collapsed="false">
      <c r="A27" s="10"/>
      <c r="B27" s="11"/>
      <c r="C27" s="11"/>
      <c r="D27" s="11"/>
      <c r="E27" s="12" t="str">
        <f aca="false">IF(C27="","",IFERROR(INDEX(Packages!$B$5:$B$8,MATCH(C27,Packages!$A$5:$A$8,0)),"Check package"))</f>
        <v/>
      </c>
      <c r="F27" s="11"/>
      <c r="G27" s="11"/>
    </row>
    <row r="28" customFormat="false" ht="15" hidden="false" customHeight="false" outlineLevel="0" collapsed="false">
      <c r="A28" s="10"/>
      <c r="B28" s="11"/>
      <c r="C28" s="11"/>
      <c r="D28" s="11"/>
      <c r="E28" s="12" t="str">
        <f aca="false">IF(C28="","",IFERROR(INDEX(Packages!$B$5:$B$8,MATCH(C28,Packages!$A$5:$A$8,0)),"Check package"))</f>
        <v/>
      </c>
      <c r="F28" s="11"/>
      <c r="G28" s="11"/>
    </row>
    <row r="29" customFormat="false" ht="15" hidden="false" customHeight="false" outlineLevel="0" collapsed="false">
      <c r="A29" s="10"/>
      <c r="B29" s="11"/>
      <c r="C29" s="11"/>
      <c r="D29" s="11"/>
      <c r="E29" s="12" t="str">
        <f aca="false">IF(C29="","",IFERROR(INDEX(Packages!$B$5:$B$8,MATCH(C29,Packages!$A$5:$A$8,0)),"Check package"))</f>
        <v/>
      </c>
      <c r="F29" s="11"/>
      <c r="G29" s="11"/>
    </row>
    <row r="30" customFormat="false" ht="15" hidden="false" customHeight="false" outlineLevel="0" collapsed="false">
      <c r="A30" s="10"/>
      <c r="B30" s="11"/>
      <c r="C30" s="11"/>
      <c r="D30" s="11"/>
      <c r="E30" s="12" t="str">
        <f aca="false">IF(C30="","",IFERROR(INDEX(Packages!$B$5:$B$8,MATCH(C30,Packages!$A$5:$A$8,0)),"Check package"))</f>
        <v/>
      </c>
      <c r="F30" s="11"/>
      <c r="G30" s="11"/>
    </row>
    <row r="31" customFormat="false" ht="15" hidden="false" customHeight="false" outlineLevel="0" collapsed="false">
      <c r="A31" s="10"/>
      <c r="B31" s="11"/>
      <c r="C31" s="11"/>
      <c r="D31" s="11"/>
      <c r="E31" s="12" t="str">
        <f aca="false">IF(C31="","",IFERROR(INDEX(Packages!$B$5:$B$8,MATCH(C31,Packages!$A$5:$A$8,0)),"Check package"))</f>
        <v/>
      </c>
      <c r="F31" s="11"/>
      <c r="G31" s="11"/>
    </row>
    <row r="32" customFormat="false" ht="15" hidden="false" customHeight="false" outlineLevel="0" collapsed="false">
      <c r="A32" s="10"/>
      <c r="B32" s="11"/>
      <c r="C32" s="11"/>
      <c r="D32" s="11"/>
      <c r="E32" s="12" t="str">
        <f aca="false">IF(C32="","",IFERROR(INDEX(Packages!$B$5:$B$8,MATCH(C32,Packages!$A$5:$A$8,0)),"Check package"))</f>
        <v/>
      </c>
      <c r="F32" s="11"/>
      <c r="G32" s="11"/>
    </row>
    <row r="33" customFormat="false" ht="15" hidden="false" customHeight="false" outlineLevel="0" collapsed="false">
      <c r="A33" s="10"/>
      <c r="B33" s="11"/>
      <c r="C33" s="11"/>
      <c r="D33" s="11"/>
      <c r="E33" s="12" t="str">
        <f aca="false">IF(C33="","",IFERROR(INDEX(Packages!$B$5:$B$8,MATCH(C33,Packages!$A$5:$A$8,0)),"Check package"))</f>
        <v/>
      </c>
      <c r="F33" s="11"/>
      <c r="G33" s="11"/>
    </row>
    <row r="34" customFormat="false" ht="15" hidden="false" customHeight="false" outlineLevel="0" collapsed="false">
      <c r="A34" s="10"/>
      <c r="B34" s="11"/>
      <c r="C34" s="11"/>
      <c r="D34" s="11"/>
      <c r="E34" s="12" t="str">
        <f aca="false">IF(C34="","",IFERROR(INDEX(Packages!$B$5:$B$8,MATCH(C34,Packages!$A$5:$A$8,0)),"Check package"))</f>
        <v/>
      </c>
      <c r="F34" s="11"/>
      <c r="G34" s="11"/>
    </row>
    <row r="35" customFormat="false" ht="15" hidden="false" customHeight="false" outlineLevel="0" collapsed="false">
      <c r="A35" s="10"/>
      <c r="B35" s="11"/>
      <c r="C35" s="11"/>
      <c r="D35" s="11"/>
      <c r="E35" s="12" t="str">
        <f aca="false">IF(C35="","",IFERROR(INDEX(Packages!$B$5:$B$8,MATCH(C35,Packages!$A$5:$A$8,0)),"Check package"))</f>
        <v/>
      </c>
      <c r="F35" s="11"/>
      <c r="G35" s="11"/>
    </row>
    <row r="36" customFormat="false" ht="15" hidden="false" customHeight="false" outlineLevel="0" collapsed="false">
      <c r="A36" s="10"/>
      <c r="B36" s="11"/>
      <c r="C36" s="11"/>
      <c r="D36" s="11"/>
      <c r="E36" s="12" t="str">
        <f aca="false">IF(C36="","",IFERROR(INDEX(Packages!$B$5:$B$8,MATCH(C36,Packages!$A$5:$A$8,0)),"Check package"))</f>
        <v/>
      </c>
      <c r="F36" s="11"/>
      <c r="G36" s="11"/>
    </row>
    <row r="37" customFormat="false" ht="15" hidden="false" customHeight="false" outlineLevel="0" collapsed="false">
      <c r="A37" s="10"/>
      <c r="B37" s="11"/>
      <c r="C37" s="11"/>
      <c r="D37" s="11"/>
      <c r="E37" s="12" t="str">
        <f aca="false">IF(C37="","",IFERROR(INDEX(Packages!$B$5:$B$8,MATCH(C37,Packages!$A$5:$A$8,0)),"Check package"))</f>
        <v/>
      </c>
      <c r="F37" s="11"/>
      <c r="G37" s="11"/>
    </row>
    <row r="38" customFormat="false" ht="15" hidden="false" customHeight="false" outlineLevel="0" collapsed="false">
      <c r="A38" s="10"/>
      <c r="B38" s="11"/>
      <c r="C38" s="11"/>
      <c r="D38" s="11"/>
      <c r="E38" s="12" t="str">
        <f aca="false">IF(C38="","",IFERROR(INDEX(Packages!$B$5:$B$8,MATCH(C38,Packages!$A$5:$A$8,0)),"Check package"))</f>
        <v/>
      </c>
      <c r="F38" s="11"/>
      <c r="G38" s="11"/>
    </row>
    <row r="39" customFormat="false" ht="15" hidden="false" customHeight="false" outlineLevel="0" collapsed="false">
      <c r="A39" s="10"/>
      <c r="B39" s="11"/>
      <c r="C39" s="11"/>
      <c r="D39" s="11"/>
      <c r="E39" s="12" t="str">
        <f aca="false">IF(C39="","",IFERROR(INDEX(Packages!$B$5:$B$8,MATCH(C39,Packages!$A$5:$A$8,0)),"Check package"))</f>
        <v/>
      </c>
      <c r="F39" s="11"/>
      <c r="G39" s="11"/>
    </row>
    <row r="40" customFormat="false" ht="15" hidden="false" customHeight="false" outlineLevel="0" collapsed="false">
      <c r="A40" s="10"/>
      <c r="B40" s="11"/>
      <c r="C40" s="11"/>
      <c r="D40" s="11"/>
      <c r="E40" s="12" t="str">
        <f aca="false">IF(C40="","",IFERROR(INDEX(Packages!$B$5:$B$8,MATCH(C40,Packages!$A$5:$A$8,0)),"Check package"))</f>
        <v/>
      </c>
      <c r="F40" s="11"/>
      <c r="G40" s="11"/>
    </row>
    <row r="41" customFormat="false" ht="15" hidden="false" customHeight="false" outlineLevel="0" collapsed="false">
      <c r="A41" s="10"/>
      <c r="B41" s="11"/>
      <c r="C41" s="11"/>
      <c r="D41" s="11"/>
      <c r="E41" s="12" t="str">
        <f aca="false">IF(C41="","",IFERROR(INDEX(Packages!$B$5:$B$8,MATCH(C41,Packages!$A$5:$A$8,0)),"Check package"))</f>
        <v/>
      </c>
      <c r="F41" s="11"/>
      <c r="G41" s="11"/>
    </row>
    <row r="42" customFormat="false" ht="15" hidden="false" customHeight="false" outlineLevel="0" collapsed="false">
      <c r="A42" s="10"/>
      <c r="B42" s="11"/>
      <c r="C42" s="11"/>
      <c r="D42" s="11"/>
      <c r="E42" s="12" t="str">
        <f aca="false">IF(C42="","",IFERROR(INDEX(Packages!$B$5:$B$8,MATCH(C42,Packages!$A$5:$A$8,0)),"Check package"))</f>
        <v/>
      </c>
      <c r="F42" s="11"/>
      <c r="G42" s="11"/>
    </row>
    <row r="43" customFormat="false" ht="15" hidden="false" customHeight="false" outlineLevel="0" collapsed="false">
      <c r="A43" s="10"/>
      <c r="B43" s="11"/>
      <c r="C43" s="11"/>
      <c r="D43" s="11"/>
      <c r="E43" s="12" t="str">
        <f aca="false">IF(C43="","",IFERROR(INDEX(Packages!$B$5:$B$8,MATCH(C43,Packages!$A$5:$A$8,0)),"Check package"))</f>
        <v/>
      </c>
      <c r="F43" s="11"/>
      <c r="G43" s="11"/>
    </row>
    <row r="44" customFormat="false" ht="15" hidden="false" customHeight="false" outlineLevel="0" collapsed="false">
      <c r="A44" s="10"/>
      <c r="B44" s="11"/>
      <c r="C44" s="11"/>
      <c r="D44" s="11"/>
      <c r="E44" s="12" t="str">
        <f aca="false">IF(C44="","",IFERROR(INDEX(Packages!$B$5:$B$8,MATCH(C44,Packages!$A$5:$A$8,0)),"Check package"))</f>
        <v/>
      </c>
      <c r="F44" s="11"/>
      <c r="G44" s="11"/>
    </row>
    <row r="45" customFormat="false" ht="15" hidden="false" customHeight="false" outlineLevel="0" collapsed="false">
      <c r="A45" s="10"/>
      <c r="B45" s="11"/>
      <c r="C45" s="11"/>
      <c r="D45" s="11"/>
      <c r="E45" s="12" t="str">
        <f aca="false">IF(C45="","",IFERROR(INDEX(Packages!$B$5:$B$8,MATCH(C45,Packages!$A$5:$A$8,0)),"Check package"))</f>
        <v/>
      </c>
      <c r="F45" s="11"/>
      <c r="G45" s="11"/>
    </row>
    <row r="46" customFormat="false" ht="15" hidden="false" customHeight="false" outlineLevel="0" collapsed="false">
      <c r="A46" s="10"/>
      <c r="B46" s="11"/>
      <c r="C46" s="11"/>
      <c r="D46" s="11"/>
      <c r="E46" s="12" t="str">
        <f aca="false">IF(C46="","",IFERROR(INDEX(Packages!$B$5:$B$8,MATCH(C46,Packages!$A$5:$A$8,0)),"Check package"))</f>
        <v/>
      </c>
      <c r="F46" s="11"/>
      <c r="G46" s="11"/>
    </row>
    <row r="47" customFormat="false" ht="15" hidden="false" customHeight="false" outlineLevel="0" collapsed="false">
      <c r="A47" s="10"/>
      <c r="B47" s="11"/>
      <c r="C47" s="11"/>
      <c r="D47" s="11"/>
      <c r="E47" s="12" t="str">
        <f aca="false">IF(C47="","",IFERROR(INDEX(Packages!$B$5:$B$8,MATCH(C47,Packages!$A$5:$A$8,0)),"Check package"))</f>
        <v/>
      </c>
      <c r="F47" s="11"/>
      <c r="G47" s="11"/>
    </row>
    <row r="48" customFormat="false" ht="15" hidden="false" customHeight="false" outlineLevel="0" collapsed="false">
      <c r="A48" s="10"/>
      <c r="B48" s="11"/>
      <c r="C48" s="11"/>
      <c r="D48" s="11"/>
      <c r="E48" s="12" t="str">
        <f aca="false">IF(C48="","",IFERROR(INDEX(Packages!$B$5:$B$8,MATCH(C48,Packages!$A$5:$A$8,0)),"Check package"))</f>
        <v/>
      </c>
      <c r="F48" s="11"/>
      <c r="G48" s="11"/>
    </row>
    <row r="49" customFormat="false" ht="15" hidden="false" customHeight="false" outlineLevel="0" collapsed="false">
      <c r="A49" s="10"/>
      <c r="B49" s="11"/>
      <c r="C49" s="11"/>
      <c r="D49" s="11"/>
      <c r="E49" s="12" t="str">
        <f aca="false">IF(C49="","",IFERROR(INDEX(Packages!$B$5:$B$8,MATCH(C49,Packages!$A$5:$A$8,0)),"Check package"))</f>
        <v/>
      </c>
      <c r="F49" s="11"/>
      <c r="G49" s="11"/>
    </row>
    <row r="50" customFormat="false" ht="15" hidden="false" customHeight="false" outlineLevel="0" collapsed="false">
      <c r="A50" s="10"/>
      <c r="B50" s="11"/>
      <c r="C50" s="11"/>
      <c r="D50" s="11"/>
      <c r="E50" s="12" t="str">
        <f aca="false">IF(C50="","",IFERROR(INDEX(Packages!$B$5:$B$8,MATCH(C50,Packages!$A$5:$A$8,0)),"Check package"))</f>
        <v/>
      </c>
      <c r="F50" s="11"/>
      <c r="G50" s="11"/>
    </row>
    <row r="51" customFormat="false" ht="15" hidden="false" customHeight="false" outlineLevel="0" collapsed="false">
      <c r="A51" s="10"/>
      <c r="B51" s="11"/>
      <c r="C51" s="11"/>
      <c r="D51" s="11"/>
      <c r="E51" s="12" t="str">
        <f aca="false">IF(C51="","",IFERROR(INDEX(Packages!$B$5:$B$8,MATCH(C51,Packages!$A$5:$A$8,0)),"Check package"))</f>
        <v/>
      </c>
      <c r="F51" s="11"/>
      <c r="G51" s="11"/>
    </row>
    <row r="52" customFormat="false" ht="15" hidden="false" customHeight="false" outlineLevel="0" collapsed="false">
      <c r="A52" s="10"/>
      <c r="B52" s="11"/>
      <c r="C52" s="11"/>
      <c r="D52" s="11"/>
      <c r="E52" s="12" t="str">
        <f aca="false">IF(C52="","",IFERROR(INDEX(Packages!$B$5:$B$8,MATCH(C52,Packages!$A$5:$A$8,0)),"Check package"))</f>
        <v/>
      </c>
      <c r="F52" s="11"/>
      <c r="G52" s="11"/>
    </row>
    <row r="53" customFormat="false" ht="15" hidden="false" customHeight="false" outlineLevel="0" collapsed="false">
      <c r="A53" s="10"/>
      <c r="B53" s="11"/>
      <c r="C53" s="11"/>
      <c r="D53" s="11"/>
      <c r="E53" s="12" t="str">
        <f aca="false">IF(C53="","",IFERROR(INDEX(Packages!$B$5:$B$8,MATCH(C53,Packages!$A$5:$A$8,0)),"Check package"))</f>
        <v/>
      </c>
      <c r="F53" s="11"/>
      <c r="G53" s="11"/>
    </row>
    <row r="54" customFormat="false" ht="15" hidden="false" customHeight="false" outlineLevel="0" collapsed="false">
      <c r="A54" s="10"/>
      <c r="B54" s="11"/>
      <c r="C54" s="11"/>
      <c r="D54" s="11"/>
      <c r="E54" s="12" t="str">
        <f aca="false">IF(C54="","",IFERROR(INDEX(Packages!$B$5:$B$8,MATCH(C54,Packages!$A$5:$A$8,0)),"Check package"))</f>
        <v/>
      </c>
      <c r="F54" s="11"/>
      <c r="G54" s="11"/>
    </row>
    <row r="55" customFormat="false" ht="15" hidden="false" customHeight="false" outlineLevel="0" collapsed="false">
      <c r="A55" s="10"/>
      <c r="B55" s="11"/>
      <c r="C55" s="11"/>
      <c r="D55" s="11"/>
      <c r="E55" s="12" t="str">
        <f aca="false">IF(C55="","",IFERROR(INDEX(Packages!$B$5:$B$8,MATCH(C55,Packages!$A$5:$A$8,0)),"Check package"))</f>
        <v/>
      </c>
      <c r="F55" s="11"/>
      <c r="G55" s="11"/>
    </row>
    <row r="56" customFormat="false" ht="15" hidden="false" customHeight="false" outlineLevel="0" collapsed="false">
      <c r="A56" s="10"/>
      <c r="B56" s="11"/>
      <c r="C56" s="11"/>
      <c r="D56" s="11"/>
      <c r="E56" s="12" t="str">
        <f aca="false">IF(C56="","",IFERROR(INDEX(Packages!$B$5:$B$8,MATCH(C56,Packages!$A$5:$A$8,0)),"Check package"))</f>
        <v/>
      </c>
      <c r="F56" s="11"/>
      <c r="G56" s="11"/>
    </row>
    <row r="57" customFormat="false" ht="15" hidden="false" customHeight="false" outlineLevel="0" collapsed="false">
      <c r="A57" s="10"/>
      <c r="B57" s="11"/>
      <c r="C57" s="11"/>
      <c r="D57" s="11"/>
      <c r="E57" s="12" t="str">
        <f aca="false">IF(C57="","",IFERROR(INDEX(Packages!$B$5:$B$8,MATCH(C57,Packages!$A$5:$A$8,0)),"Check package"))</f>
        <v/>
      </c>
      <c r="F57" s="11"/>
      <c r="G57" s="11"/>
    </row>
    <row r="58" customFormat="false" ht="15" hidden="false" customHeight="false" outlineLevel="0" collapsed="false">
      <c r="A58" s="10"/>
      <c r="B58" s="11"/>
      <c r="C58" s="11"/>
      <c r="D58" s="11"/>
      <c r="E58" s="12" t="str">
        <f aca="false">IF(C58="","",IFERROR(INDEX(Packages!$B$5:$B$8,MATCH(C58,Packages!$A$5:$A$8,0)),"Check package"))</f>
        <v/>
      </c>
      <c r="F58" s="11"/>
      <c r="G58" s="11"/>
    </row>
    <row r="59" customFormat="false" ht="15" hidden="false" customHeight="false" outlineLevel="0" collapsed="false">
      <c r="A59" s="10"/>
      <c r="B59" s="11"/>
      <c r="C59" s="11"/>
      <c r="D59" s="11"/>
      <c r="E59" s="12" t="str">
        <f aca="false">IF(C59="","",IFERROR(INDEX(Packages!$B$5:$B$8,MATCH(C59,Packages!$A$5:$A$8,0)),"Check package"))</f>
        <v/>
      </c>
      <c r="F59" s="11"/>
      <c r="G59" s="11"/>
    </row>
    <row r="60" customFormat="false" ht="15" hidden="false" customHeight="false" outlineLevel="0" collapsed="false">
      <c r="A60" s="10"/>
      <c r="B60" s="11"/>
      <c r="C60" s="11"/>
      <c r="D60" s="11"/>
      <c r="E60" s="12" t="str">
        <f aca="false">IF(C60="","",IFERROR(INDEX(Packages!$B$5:$B$8,MATCH(C60,Packages!$A$5:$A$8,0)),"Check package"))</f>
        <v/>
      </c>
      <c r="F60" s="11"/>
      <c r="G60" s="11"/>
    </row>
    <row r="61" customFormat="false" ht="15" hidden="false" customHeight="false" outlineLevel="0" collapsed="false">
      <c r="A61" s="10"/>
      <c r="B61" s="11"/>
      <c r="C61" s="11"/>
      <c r="D61" s="11"/>
      <c r="E61" s="12" t="str">
        <f aca="false">IF(C61="","",IFERROR(INDEX(Packages!$B$5:$B$8,MATCH(C61,Packages!$A$5:$A$8,0)),"Check package"))</f>
        <v/>
      </c>
      <c r="F61" s="11"/>
      <c r="G61" s="11"/>
    </row>
    <row r="62" customFormat="false" ht="15" hidden="false" customHeight="false" outlineLevel="0" collapsed="false">
      <c r="A62" s="10"/>
      <c r="B62" s="11"/>
      <c r="C62" s="11"/>
      <c r="D62" s="11"/>
      <c r="E62" s="12" t="str">
        <f aca="false">IF(C62="","",IFERROR(INDEX(Packages!$B$5:$B$8,MATCH(C62,Packages!$A$5:$A$8,0)),"Check package"))</f>
        <v/>
      </c>
      <c r="F62" s="11"/>
      <c r="G62" s="11"/>
    </row>
    <row r="63" customFormat="false" ht="15" hidden="false" customHeight="false" outlineLevel="0" collapsed="false">
      <c r="A63" s="10"/>
      <c r="B63" s="11"/>
      <c r="C63" s="11"/>
      <c r="D63" s="11"/>
      <c r="E63" s="12" t="str">
        <f aca="false">IF(C63="","",IFERROR(INDEX(Packages!$B$5:$B$8,MATCH(C63,Packages!$A$5:$A$8,0)),"Check package"))</f>
        <v/>
      </c>
      <c r="F63" s="11"/>
      <c r="G63" s="11"/>
    </row>
    <row r="64" customFormat="false" ht="15" hidden="false" customHeight="false" outlineLevel="0" collapsed="false">
      <c r="A64" s="10"/>
      <c r="B64" s="11"/>
      <c r="C64" s="11"/>
      <c r="D64" s="11"/>
      <c r="E64" s="12" t="str">
        <f aca="false">IF(C64="","",IFERROR(INDEX(Packages!$B$5:$B$8,MATCH(C64,Packages!$A$5:$A$8,0)),"Check package"))</f>
        <v/>
      </c>
      <c r="F64" s="11"/>
      <c r="G64" s="11"/>
    </row>
    <row r="65" customFormat="false" ht="15" hidden="false" customHeight="false" outlineLevel="0" collapsed="false">
      <c r="A65" s="10"/>
      <c r="B65" s="11"/>
      <c r="C65" s="11"/>
      <c r="D65" s="11"/>
      <c r="E65" s="12" t="str">
        <f aca="false">IF(C65="","",IFERROR(INDEX(Packages!$B$5:$B$8,MATCH(C65,Packages!$A$5:$A$8,0)),"Check package"))</f>
        <v/>
      </c>
      <c r="F65" s="11"/>
      <c r="G65" s="11"/>
    </row>
    <row r="66" customFormat="false" ht="15" hidden="false" customHeight="false" outlineLevel="0" collapsed="false">
      <c r="A66" s="10"/>
      <c r="B66" s="11"/>
      <c r="C66" s="11"/>
      <c r="D66" s="11"/>
      <c r="E66" s="12" t="str">
        <f aca="false">IF(C66="","",IFERROR(INDEX(Packages!$B$5:$B$8,MATCH(C66,Packages!$A$5:$A$8,0)),"Check package"))</f>
        <v/>
      </c>
      <c r="F66" s="11"/>
      <c r="G66" s="11"/>
    </row>
    <row r="67" customFormat="false" ht="15" hidden="false" customHeight="false" outlineLevel="0" collapsed="false">
      <c r="A67" s="10"/>
      <c r="B67" s="11"/>
      <c r="C67" s="11"/>
      <c r="D67" s="11"/>
      <c r="E67" s="12" t="str">
        <f aca="false">IF(C67="","",IFERROR(INDEX(Packages!$B$5:$B$8,MATCH(C67,Packages!$A$5:$A$8,0)),"Check package"))</f>
        <v/>
      </c>
      <c r="F67" s="11"/>
      <c r="G67" s="11"/>
    </row>
    <row r="68" customFormat="false" ht="15" hidden="false" customHeight="false" outlineLevel="0" collapsed="false">
      <c r="A68" s="10"/>
      <c r="B68" s="11"/>
      <c r="C68" s="11"/>
      <c r="D68" s="11"/>
      <c r="E68" s="12" t="str">
        <f aca="false">IF(C68="","",IFERROR(INDEX(Packages!$B$5:$B$8,MATCH(C68,Packages!$A$5:$A$8,0)),"Check package"))</f>
        <v/>
      </c>
      <c r="F68" s="11"/>
      <c r="G68" s="11"/>
    </row>
    <row r="69" customFormat="false" ht="15" hidden="false" customHeight="false" outlineLevel="0" collapsed="false">
      <c r="A69" s="10"/>
      <c r="B69" s="11"/>
      <c r="C69" s="11"/>
      <c r="D69" s="11"/>
      <c r="E69" s="12" t="str">
        <f aca="false">IF(C69="","",IFERROR(INDEX(Packages!$B$5:$B$8,MATCH(C69,Packages!$A$5:$A$8,0)),"Check package"))</f>
        <v/>
      </c>
      <c r="F69" s="11"/>
      <c r="G69" s="11"/>
    </row>
    <row r="70" customFormat="false" ht="15" hidden="false" customHeight="false" outlineLevel="0" collapsed="false">
      <c r="A70" s="10"/>
      <c r="B70" s="11"/>
      <c r="C70" s="11"/>
      <c r="D70" s="11"/>
      <c r="E70" s="12" t="str">
        <f aca="false">IF(C70="","",IFERROR(INDEX(Packages!$B$5:$B$8,MATCH(C70,Packages!$A$5:$A$8,0)),"Check package"))</f>
        <v/>
      </c>
      <c r="F70" s="11"/>
      <c r="G70" s="11"/>
    </row>
    <row r="71" customFormat="false" ht="15" hidden="false" customHeight="false" outlineLevel="0" collapsed="false">
      <c r="A71" s="10"/>
      <c r="B71" s="11"/>
      <c r="C71" s="11"/>
      <c r="D71" s="11"/>
      <c r="E71" s="12" t="str">
        <f aca="false">IF(C71="","",IFERROR(INDEX(Packages!$B$5:$B$8,MATCH(C71,Packages!$A$5:$A$8,0)),"Check package"))</f>
        <v/>
      </c>
      <c r="F71" s="11"/>
      <c r="G71" s="11"/>
    </row>
    <row r="72" customFormat="false" ht="15" hidden="false" customHeight="false" outlineLevel="0" collapsed="false">
      <c r="A72" s="10"/>
      <c r="B72" s="11"/>
      <c r="C72" s="11"/>
      <c r="D72" s="11"/>
      <c r="E72" s="12" t="str">
        <f aca="false">IF(C72="","",IFERROR(INDEX(Packages!$B$5:$B$8,MATCH(C72,Packages!$A$5:$A$8,0)),"Check package"))</f>
        <v/>
      </c>
      <c r="F72" s="11"/>
      <c r="G72" s="11"/>
    </row>
    <row r="73" customFormat="false" ht="15" hidden="false" customHeight="false" outlineLevel="0" collapsed="false">
      <c r="A73" s="10"/>
      <c r="B73" s="11"/>
      <c r="C73" s="11"/>
      <c r="D73" s="11"/>
      <c r="E73" s="12" t="str">
        <f aca="false">IF(C73="","",IFERROR(INDEX(Packages!$B$5:$B$8,MATCH(C73,Packages!$A$5:$A$8,0)),"Check package"))</f>
        <v/>
      </c>
      <c r="F73" s="11"/>
      <c r="G73" s="11"/>
    </row>
    <row r="74" customFormat="false" ht="15" hidden="false" customHeight="false" outlineLevel="0" collapsed="false">
      <c r="A74" s="10"/>
      <c r="B74" s="11"/>
      <c r="C74" s="11"/>
      <c r="D74" s="11"/>
      <c r="E74" s="12" t="str">
        <f aca="false">IF(C74="","",IFERROR(INDEX(Packages!$B$5:$B$8,MATCH(C74,Packages!$A$5:$A$8,0)),"Check package"))</f>
        <v/>
      </c>
      <c r="F74" s="11"/>
      <c r="G74" s="11"/>
    </row>
    <row r="75" customFormat="false" ht="15" hidden="false" customHeight="false" outlineLevel="0" collapsed="false">
      <c r="A75" s="10"/>
      <c r="B75" s="11"/>
      <c r="C75" s="11"/>
      <c r="D75" s="11"/>
      <c r="E75" s="12" t="str">
        <f aca="false">IF(C75="","",IFERROR(INDEX(Packages!$B$5:$B$8,MATCH(C75,Packages!$A$5:$A$8,0)),"Check package"))</f>
        <v/>
      </c>
      <c r="F75" s="11"/>
      <c r="G75" s="11"/>
    </row>
    <row r="76" customFormat="false" ht="15" hidden="false" customHeight="false" outlineLevel="0" collapsed="false">
      <c r="A76" s="10"/>
      <c r="B76" s="11"/>
      <c r="C76" s="11"/>
      <c r="D76" s="11"/>
      <c r="E76" s="12" t="str">
        <f aca="false">IF(C76="","",IFERROR(INDEX(Packages!$B$5:$B$8,MATCH(C76,Packages!$A$5:$A$8,0)),"Check package"))</f>
        <v/>
      </c>
      <c r="F76" s="11"/>
      <c r="G76" s="11"/>
    </row>
    <row r="77" customFormat="false" ht="15" hidden="false" customHeight="false" outlineLevel="0" collapsed="false">
      <c r="A77" s="10"/>
      <c r="B77" s="11"/>
      <c r="C77" s="11"/>
      <c r="D77" s="11"/>
      <c r="E77" s="12" t="str">
        <f aca="false">IF(C77="","",IFERROR(INDEX(Packages!$B$5:$B$8,MATCH(C77,Packages!$A$5:$A$8,0)),"Check package"))</f>
        <v/>
      </c>
      <c r="F77" s="11"/>
      <c r="G77" s="11"/>
    </row>
    <row r="78" customFormat="false" ht="15" hidden="false" customHeight="false" outlineLevel="0" collapsed="false">
      <c r="A78" s="10"/>
      <c r="B78" s="11"/>
      <c r="C78" s="11"/>
      <c r="D78" s="11"/>
      <c r="E78" s="12" t="str">
        <f aca="false">IF(C78="","",IFERROR(INDEX(Packages!$B$5:$B$8,MATCH(C78,Packages!$A$5:$A$8,0)),"Check package"))</f>
        <v/>
      </c>
      <c r="F78" s="11"/>
      <c r="G78" s="11"/>
    </row>
    <row r="79" customFormat="false" ht="15" hidden="false" customHeight="false" outlineLevel="0" collapsed="false">
      <c r="A79" s="10"/>
      <c r="B79" s="11"/>
      <c r="C79" s="11"/>
      <c r="D79" s="11"/>
      <c r="E79" s="12" t="str">
        <f aca="false">IF(C79="","",IFERROR(INDEX(Packages!$B$5:$B$8,MATCH(C79,Packages!$A$5:$A$8,0)),"Check package"))</f>
        <v/>
      </c>
      <c r="F79" s="11"/>
      <c r="G79" s="11"/>
    </row>
    <row r="80" customFormat="false" ht="15" hidden="false" customHeight="false" outlineLevel="0" collapsed="false">
      <c r="A80" s="10"/>
      <c r="B80" s="11"/>
      <c r="C80" s="11"/>
      <c r="D80" s="11"/>
      <c r="E80" s="12" t="str">
        <f aca="false">IF(C80="","",IFERROR(INDEX(Packages!$B$5:$B$8,MATCH(C80,Packages!$A$5:$A$8,0)),"Check package"))</f>
        <v/>
      </c>
      <c r="F80" s="11"/>
      <c r="G80" s="11"/>
    </row>
    <row r="81" customFormat="false" ht="15" hidden="false" customHeight="false" outlineLevel="0" collapsed="false">
      <c r="A81" s="10"/>
      <c r="B81" s="11"/>
      <c r="C81" s="11"/>
      <c r="D81" s="11"/>
      <c r="E81" s="12" t="str">
        <f aca="false">IF(C81="","",IFERROR(INDEX(Packages!$B$5:$B$8,MATCH(C81,Packages!$A$5:$A$8,0)),"Check package"))</f>
        <v/>
      </c>
      <c r="F81" s="11"/>
      <c r="G81" s="11"/>
    </row>
    <row r="82" customFormat="false" ht="15" hidden="false" customHeight="false" outlineLevel="0" collapsed="false">
      <c r="A82" s="10"/>
      <c r="B82" s="11"/>
      <c r="C82" s="11"/>
      <c r="D82" s="11"/>
      <c r="E82" s="12" t="str">
        <f aca="false">IF(C82="","",IFERROR(INDEX(Packages!$B$5:$B$8,MATCH(C82,Packages!$A$5:$A$8,0)),"Check package"))</f>
        <v/>
      </c>
      <c r="F82" s="11"/>
      <c r="G82" s="11"/>
    </row>
    <row r="83" customFormat="false" ht="15" hidden="false" customHeight="false" outlineLevel="0" collapsed="false">
      <c r="A83" s="10"/>
      <c r="B83" s="11"/>
      <c r="C83" s="11"/>
      <c r="D83" s="11"/>
      <c r="E83" s="12" t="str">
        <f aca="false">IF(C83="","",IFERROR(INDEX(Packages!$B$5:$B$8,MATCH(C83,Packages!$A$5:$A$8,0)),"Check package"))</f>
        <v/>
      </c>
      <c r="F83" s="11"/>
      <c r="G83" s="11"/>
    </row>
    <row r="84" customFormat="false" ht="15" hidden="false" customHeight="false" outlineLevel="0" collapsed="false">
      <c r="A84" s="10"/>
      <c r="B84" s="11"/>
      <c r="C84" s="11"/>
      <c r="D84" s="11"/>
      <c r="E84" s="12" t="str">
        <f aca="false">IF(C84="","",IFERROR(INDEX(Packages!$B$5:$B$8,MATCH(C84,Packages!$A$5:$A$8,0)),"Check package"))</f>
        <v/>
      </c>
      <c r="F84" s="11"/>
      <c r="G84" s="11"/>
    </row>
    <row r="85" customFormat="false" ht="15" hidden="false" customHeight="false" outlineLevel="0" collapsed="false">
      <c r="A85" s="10"/>
      <c r="B85" s="11"/>
      <c r="C85" s="11"/>
      <c r="D85" s="11"/>
      <c r="E85" s="12" t="str">
        <f aca="false">IF(C85="","",IFERROR(INDEX(Packages!$B$5:$B$8,MATCH(C85,Packages!$A$5:$A$8,0)),"Check package"))</f>
        <v/>
      </c>
      <c r="F85" s="11"/>
      <c r="G85" s="11"/>
    </row>
    <row r="86" customFormat="false" ht="15" hidden="false" customHeight="false" outlineLevel="0" collapsed="false">
      <c r="A86" s="10"/>
      <c r="B86" s="11"/>
      <c r="C86" s="11"/>
      <c r="D86" s="11"/>
      <c r="E86" s="12" t="str">
        <f aca="false">IF(C86="","",IFERROR(INDEX(Packages!$B$5:$B$8,MATCH(C86,Packages!$A$5:$A$8,0)),"Check package"))</f>
        <v/>
      </c>
      <c r="F86" s="11"/>
      <c r="G86" s="11"/>
    </row>
    <row r="87" customFormat="false" ht="15" hidden="false" customHeight="false" outlineLevel="0" collapsed="false">
      <c r="A87" s="10"/>
      <c r="B87" s="11"/>
      <c r="C87" s="11"/>
      <c r="D87" s="11"/>
      <c r="E87" s="12" t="str">
        <f aca="false">IF(C87="","",IFERROR(INDEX(Packages!$B$5:$B$8,MATCH(C87,Packages!$A$5:$A$8,0)),"Check package"))</f>
        <v/>
      </c>
      <c r="F87" s="11"/>
      <c r="G87" s="11"/>
    </row>
    <row r="88" customFormat="false" ht="15" hidden="false" customHeight="false" outlineLevel="0" collapsed="false">
      <c r="A88" s="10"/>
      <c r="B88" s="11"/>
      <c r="C88" s="11"/>
      <c r="D88" s="11"/>
      <c r="E88" s="12" t="str">
        <f aca="false">IF(C88="","",IFERROR(INDEX(Packages!$B$5:$B$8,MATCH(C88,Packages!$A$5:$A$8,0)),"Check package"))</f>
        <v/>
      </c>
      <c r="F88" s="11"/>
      <c r="G88" s="11"/>
    </row>
    <row r="89" customFormat="false" ht="15" hidden="false" customHeight="false" outlineLevel="0" collapsed="false">
      <c r="A89" s="10"/>
      <c r="B89" s="11"/>
      <c r="C89" s="11"/>
      <c r="D89" s="11"/>
      <c r="E89" s="12" t="str">
        <f aca="false">IF(C89="","",IFERROR(INDEX(Packages!$B$5:$B$8,MATCH(C89,Packages!$A$5:$A$8,0)),"Check package"))</f>
        <v/>
      </c>
      <c r="F89" s="11"/>
      <c r="G89" s="11"/>
    </row>
    <row r="90" customFormat="false" ht="15" hidden="false" customHeight="false" outlineLevel="0" collapsed="false">
      <c r="A90" s="10"/>
      <c r="B90" s="11"/>
      <c r="C90" s="11"/>
      <c r="D90" s="11"/>
      <c r="E90" s="12" t="str">
        <f aca="false">IF(C90="","",IFERROR(INDEX(Packages!$B$5:$B$8,MATCH(C90,Packages!$A$5:$A$8,0)),"Check package"))</f>
        <v/>
      </c>
      <c r="F90" s="11"/>
      <c r="G90" s="11"/>
    </row>
    <row r="91" customFormat="false" ht="15" hidden="false" customHeight="false" outlineLevel="0" collapsed="false">
      <c r="A91" s="10"/>
      <c r="B91" s="11"/>
      <c r="C91" s="11"/>
      <c r="D91" s="11"/>
      <c r="E91" s="12" t="str">
        <f aca="false">IF(C91="","",IFERROR(INDEX(Packages!$B$5:$B$8,MATCH(C91,Packages!$A$5:$A$8,0)),"Check package"))</f>
        <v/>
      </c>
      <c r="F91" s="11"/>
      <c r="G91" s="11"/>
    </row>
    <row r="92" customFormat="false" ht="15" hidden="false" customHeight="false" outlineLevel="0" collapsed="false">
      <c r="A92" s="10"/>
      <c r="B92" s="11"/>
      <c r="C92" s="11"/>
      <c r="D92" s="11"/>
      <c r="E92" s="12" t="str">
        <f aca="false">IF(C92="","",IFERROR(INDEX(Packages!$B$5:$B$8,MATCH(C92,Packages!$A$5:$A$8,0)),"Check package"))</f>
        <v/>
      </c>
      <c r="F92" s="11"/>
      <c r="G92" s="11"/>
    </row>
    <row r="93" customFormat="false" ht="15" hidden="false" customHeight="false" outlineLevel="0" collapsed="false">
      <c r="A93" s="10"/>
      <c r="B93" s="11"/>
      <c r="C93" s="11"/>
      <c r="D93" s="11"/>
      <c r="E93" s="12" t="str">
        <f aca="false">IF(C93="","",IFERROR(INDEX(Packages!$B$5:$B$8,MATCH(C93,Packages!$A$5:$A$8,0)),"Check package"))</f>
        <v/>
      </c>
      <c r="F93" s="11"/>
      <c r="G93" s="11"/>
    </row>
    <row r="94" customFormat="false" ht="15" hidden="false" customHeight="false" outlineLevel="0" collapsed="false">
      <c r="A94" s="10"/>
      <c r="B94" s="11"/>
      <c r="C94" s="11"/>
      <c r="D94" s="11"/>
      <c r="E94" s="12" t="str">
        <f aca="false">IF(C94="","",IFERROR(INDEX(Packages!$B$5:$B$8,MATCH(C94,Packages!$A$5:$A$8,0)),"Check package"))</f>
        <v/>
      </c>
      <c r="F94" s="11"/>
      <c r="G94" s="11"/>
    </row>
    <row r="95" customFormat="false" ht="15" hidden="false" customHeight="false" outlineLevel="0" collapsed="false">
      <c r="A95" s="10"/>
      <c r="B95" s="11"/>
      <c r="C95" s="11"/>
      <c r="D95" s="11"/>
      <c r="E95" s="12" t="str">
        <f aca="false">IF(C95="","",IFERROR(INDEX(Packages!$B$5:$B$8,MATCH(C95,Packages!$A$5:$A$8,0)),"Check package"))</f>
        <v/>
      </c>
      <c r="F95" s="11"/>
      <c r="G95" s="11"/>
    </row>
    <row r="96" customFormat="false" ht="15" hidden="false" customHeight="false" outlineLevel="0" collapsed="false">
      <c r="A96" s="10"/>
      <c r="B96" s="11"/>
      <c r="C96" s="11"/>
      <c r="D96" s="11"/>
      <c r="E96" s="12" t="str">
        <f aca="false">IF(C96="","",IFERROR(INDEX(Packages!$B$5:$B$8,MATCH(C96,Packages!$A$5:$A$8,0)),"Check package"))</f>
        <v/>
      </c>
      <c r="F96" s="11"/>
      <c r="G96" s="11"/>
    </row>
    <row r="97" customFormat="false" ht="15" hidden="false" customHeight="false" outlineLevel="0" collapsed="false">
      <c r="A97" s="10"/>
      <c r="B97" s="11"/>
      <c r="C97" s="11"/>
      <c r="D97" s="11"/>
      <c r="E97" s="12" t="str">
        <f aca="false">IF(C97="","",IFERROR(INDEX(Packages!$B$5:$B$8,MATCH(C97,Packages!$A$5:$A$8,0)),"Check package"))</f>
        <v/>
      </c>
      <c r="F97" s="11"/>
      <c r="G97" s="11"/>
    </row>
    <row r="98" customFormat="false" ht="15" hidden="false" customHeight="false" outlineLevel="0" collapsed="false">
      <c r="A98" s="10"/>
      <c r="B98" s="11"/>
      <c r="C98" s="11"/>
      <c r="D98" s="11"/>
      <c r="E98" s="12" t="str">
        <f aca="false">IF(C98="","",IFERROR(INDEX(Packages!$B$5:$B$8,MATCH(C98,Packages!$A$5:$A$8,0)),"Check package"))</f>
        <v/>
      </c>
      <c r="F98" s="11"/>
      <c r="G98" s="11"/>
    </row>
    <row r="99" customFormat="false" ht="15" hidden="false" customHeight="false" outlineLevel="0" collapsed="false">
      <c r="A99" s="10"/>
      <c r="B99" s="11"/>
      <c r="C99" s="11"/>
      <c r="D99" s="11"/>
      <c r="E99" s="12" t="str">
        <f aca="false">IF(C99="","",IFERROR(INDEX(Packages!$B$5:$B$8,MATCH(C99,Packages!$A$5:$A$8,0)),"Check package"))</f>
        <v/>
      </c>
      <c r="F99" s="11"/>
      <c r="G99" s="11"/>
    </row>
    <row r="100" customFormat="false" ht="15" hidden="false" customHeight="false" outlineLevel="0" collapsed="false">
      <c r="A100" s="10"/>
      <c r="B100" s="11"/>
      <c r="C100" s="11"/>
      <c r="D100" s="11"/>
      <c r="E100" s="12" t="str">
        <f aca="false">IF(C100="","",IFERROR(INDEX(Packages!$B$5:$B$8,MATCH(C100,Packages!$A$5:$A$8,0)),"Check package"))</f>
        <v/>
      </c>
      <c r="F100" s="11"/>
      <c r="G100" s="11"/>
    </row>
    <row r="101" customFormat="false" ht="15" hidden="false" customHeight="false" outlineLevel="0" collapsed="false">
      <c r="A101" s="10"/>
      <c r="B101" s="11"/>
      <c r="C101" s="11"/>
      <c r="D101" s="11"/>
      <c r="E101" s="12" t="str">
        <f aca="false">IF(C101="","",IFERROR(INDEX(Packages!$B$5:$B$8,MATCH(C101,Packages!$A$5:$A$8,0)),"Check package"))</f>
        <v/>
      </c>
      <c r="F101" s="11"/>
      <c r="G101" s="11"/>
    </row>
    <row r="102" customFormat="false" ht="15" hidden="false" customHeight="false" outlineLevel="0" collapsed="false">
      <c r="A102" s="10"/>
      <c r="B102" s="11"/>
      <c r="C102" s="11"/>
      <c r="D102" s="11"/>
      <c r="E102" s="12" t="str">
        <f aca="false">IF(C102="","",IFERROR(INDEX(Packages!$B$5:$B$8,MATCH(C102,Packages!$A$5:$A$8,0)),"Check package"))</f>
        <v/>
      </c>
      <c r="F102" s="11"/>
      <c r="G102" s="11"/>
    </row>
    <row r="103" customFormat="false" ht="15" hidden="false" customHeight="false" outlineLevel="0" collapsed="false">
      <c r="A103" s="10"/>
      <c r="B103" s="11"/>
      <c r="C103" s="11"/>
      <c r="D103" s="11"/>
      <c r="E103" s="12" t="str">
        <f aca="false">IF(C103="","",IFERROR(INDEX(Packages!$B$5:$B$8,MATCH(C103,Packages!$A$5:$A$8,0)),"Check package"))</f>
        <v/>
      </c>
      <c r="F103" s="11"/>
      <c r="G103" s="11"/>
    </row>
    <row r="104" customFormat="false" ht="15" hidden="false" customHeight="false" outlineLevel="0" collapsed="false">
      <c r="A104" s="10"/>
      <c r="B104" s="11"/>
      <c r="C104" s="11"/>
      <c r="D104" s="11"/>
      <c r="E104" s="12" t="str">
        <f aca="false">IF(C104="","",IFERROR(INDEX(Packages!$B$5:$B$8,MATCH(C104,Packages!$A$5:$A$8,0)),"Check package"))</f>
        <v/>
      </c>
      <c r="F104" s="11"/>
      <c r="G104" s="11"/>
    </row>
    <row r="105" customFormat="false" ht="15" hidden="false" customHeight="false" outlineLevel="0" collapsed="false">
      <c r="A105" s="10"/>
      <c r="B105" s="11"/>
      <c r="C105" s="11"/>
      <c r="D105" s="11"/>
      <c r="E105" s="12" t="str">
        <f aca="false">IF(C105="","",IFERROR(INDEX(Packages!$B$5:$B$8,MATCH(C105,Packages!$A$5:$A$8,0)),"Check package"))</f>
        <v/>
      </c>
      <c r="F105" s="11"/>
      <c r="G105" s="11"/>
    </row>
    <row r="106" customFormat="false" ht="15" hidden="false" customHeight="false" outlineLevel="0" collapsed="false">
      <c r="A106" s="10"/>
      <c r="B106" s="11"/>
      <c r="C106" s="11"/>
      <c r="D106" s="11"/>
      <c r="E106" s="12" t="str">
        <f aca="false">IF(C106="","",IFERROR(INDEX(Packages!$B$5:$B$8,MATCH(C106,Packages!$A$5:$A$8,0)),"Check package"))</f>
        <v/>
      </c>
      <c r="F106" s="11"/>
      <c r="G106" s="11"/>
    </row>
    <row r="107" customFormat="false" ht="15" hidden="false" customHeight="false" outlineLevel="0" collapsed="false">
      <c r="A107" s="10"/>
      <c r="B107" s="11"/>
      <c r="C107" s="11"/>
      <c r="D107" s="11"/>
      <c r="E107" s="12" t="str">
        <f aca="false">IF(C107="","",IFERROR(INDEX(Packages!$B$5:$B$8,MATCH(C107,Packages!$A$5:$A$8,0)),"Check package"))</f>
        <v/>
      </c>
      <c r="F107" s="11"/>
      <c r="G107" s="11"/>
    </row>
    <row r="108" customFormat="false" ht="15" hidden="false" customHeight="false" outlineLevel="0" collapsed="false">
      <c r="A108" s="10"/>
      <c r="B108" s="11"/>
      <c r="C108" s="11"/>
      <c r="D108" s="11"/>
      <c r="E108" s="12" t="str">
        <f aca="false">IF(C108="","",IFERROR(INDEX(Packages!$B$5:$B$8,MATCH(C108,Packages!$A$5:$A$8,0)),"Check package"))</f>
        <v/>
      </c>
      <c r="F108" s="11"/>
      <c r="G108" s="11"/>
    </row>
    <row r="109" customFormat="false" ht="15" hidden="false" customHeight="false" outlineLevel="0" collapsed="false">
      <c r="A109" s="10"/>
      <c r="B109" s="11"/>
      <c r="C109" s="11"/>
      <c r="D109" s="11"/>
      <c r="E109" s="12" t="str">
        <f aca="false">IF(C109="","",IFERROR(INDEX(Packages!$B$5:$B$8,MATCH(C109,Packages!$A$5:$A$8,0)),"Check package"))</f>
        <v/>
      </c>
      <c r="F109" s="11"/>
      <c r="G109" s="11"/>
    </row>
    <row r="110" customFormat="false" ht="15" hidden="false" customHeight="false" outlineLevel="0" collapsed="false">
      <c r="A110" s="10"/>
      <c r="B110" s="11"/>
      <c r="C110" s="11"/>
      <c r="D110" s="11"/>
      <c r="E110" s="12" t="str">
        <f aca="false">IF(C110="","",IFERROR(INDEX(Packages!$B$5:$B$8,MATCH(C110,Packages!$A$5:$A$8,0)),"Check package"))</f>
        <v/>
      </c>
      <c r="F110" s="11"/>
      <c r="G110" s="11"/>
    </row>
    <row r="111" customFormat="false" ht="15" hidden="false" customHeight="false" outlineLevel="0" collapsed="false">
      <c r="A111" s="10"/>
      <c r="B111" s="11"/>
      <c r="C111" s="11"/>
      <c r="D111" s="11"/>
      <c r="E111" s="12" t="str">
        <f aca="false">IF(C111="","",IFERROR(INDEX(Packages!$B$5:$B$8,MATCH(C111,Packages!$A$5:$A$8,0)),"Check package"))</f>
        <v/>
      </c>
      <c r="F111" s="11"/>
      <c r="G111" s="11"/>
    </row>
    <row r="112" customFormat="false" ht="15" hidden="false" customHeight="false" outlineLevel="0" collapsed="false">
      <c r="A112" s="10"/>
      <c r="B112" s="11"/>
      <c r="C112" s="11"/>
      <c r="D112" s="11"/>
      <c r="E112" s="12" t="str">
        <f aca="false">IF(C112="","",IFERROR(INDEX(Packages!$B$5:$B$8,MATCH(C112,Packages!$A$5:$A$8,0)),"Check package"))</f>
        <v/>
      </c>
      <c r="F112" s="11"/>
      <c r="G112" s="11"/>
    </row>
    <row r="113" customFormat="false" ht="15" hidden="false" customHeight="false" outlineLevel="0" collapsed="false">
      <c r="A113" s="10"/>
      <c r="B113" s="11"/>
      <c r="C113" s="11"/>
      <c r="D113" s="11"/>
      <c r="E113" s="12" t="str">
        <f aca="false">IF(C113="","",IFERROR(INDEX(Packages!$B$5:$B$8,MATCH(C113,Packages!$A$5:$A$8,0)),"Check package"))</f>
        <v/>
      </c>
      <c r="F113" s="11"/>
      <c r="G113" s="11"/>
    </row>
    <row r="114" customFormat="false" ht="15" hidden="false" customHeight="false" outlineLevel="0" collapsed="false">
      <c r="A114" s="10"/>
      <c r="B114" s="11"/>
      <c r="C114" s="11"/>
      <c r="D114" s="11"/>
      <c r="E114" s="12" t="str">
        <f aca="false">IF(C114="","",IFERROR(INDEX(Packages!$B$5:$B$8,MATCH(C114,Packages!$A$5:$A$8,0)),"Check package"))</f>
        <v/>
      </c>
      <c r="F114" s="11"/>
      <c r="G114" s="11"/>
    </row>
    <row r="115" customFormat="false" ht="15" hidden="false" customHeight="false" outlineLevel="0" collapsed="false">
      <c r="A115" s="10"/>
      <c r="B115" s="11"/>
      <c r="C115" s="11"/>
      <c r="D115" s="11"/>
      <c r="E115" s="12" t="str">
        <f aca="false">IF(C115="","",IFERROR(INDEX(Packages!$B$5:$B$8,MATCH(C115,Packages!$A$5:$A$8,0)),"Check package"))</f>
        <v/>
      </c>
      <c r="F115" s="11"/>
      <c r="G115" s="11"/>
    </row>
    <row r="116" customFormat="false" ht="15" hidden="false" customHeight="false" outlineLevel="0" collapsed="false">
      <c r="A116" s="10"/>
      <c r="B116" s="11"/>
      <c r="C116" s="11"/>
      <c r="D116" s="11"/>
      <c r="E116" s="12" t="str">
        <f aca="false">IF(C116="","",IFERROR(INDEX(Packages!$B$5:$B$8,MATCH(C116,Packages!$A$5:$A$8,0)),"Check package"))</f>
        <v/>
      </c>
      <c r="F116" s="11"/>
      <c r="G116" s="11"/>
    </row>
    <row r="117" customFormat="false" ht="15" hidden="false" customHeight="false" outlineLevel="0" collapsed="false">
      <c r="A117" s="10"/>
      <c r="B117" s="11"/>
      <c r="C117" s="11"/>
      <c r="D117" s="11"/>
      <c r="E117" s="12" t="str">
        <f aca="false">IF(C117="","",IFERROR(INDEX(Packages!$B$5:$B$8,MATCH(C117,Packages!$A$5:$A$8,0)),"Check package"))</f>
        <v/>
      </c>
      <c r="F117" s="11"/>
      <c r="G117" s="11"/>
    </row>
    <row r="118" customFormat="false" ht="15" hidden="false" customHeight="false" outlineLevel="0" collapsed="false">
      <c r="A118" s="10"/>
      <c r="B118" s="11"/>
      <c r="C118" s="11"/>
      <c r="D118" s="11"/>
      <c r="E118" s="12" t="str">
        <f aca="false">IF(C118="","",IFERROR(INDEX(Packages!$B$5:$B$8,MATCH(C118,Packages!$A$5:$A$8,0)),"Check package"))</f>
        <v/>
      </c>
      <c r="F118" s="11"/>
      <c r="G118" s="11"/>
    </row>
    <row r="119" customFormat="false" ht="15" hidden="false" customHeight="false" outlineLevel="0" collapsed="false">
      <c r="A119" s="10"/>
      <c r="B119" s="11"/>
      <c r="C119" s="11"/>
      <c r="D119" s="11"/>
      <c r="E119" s="12" t="str">
        <f aca="false">IF(C119="","",IFERROR(INDEX(Packages!$B$5:$B$8,MATCH(C119,Packages!$A$5:$A$8,0)),"Check package"))</f>
        <v/>
      </c>
      <c r="F119" s="11"/>
      <c r="G119" s="11"/>
    </row>
    <row r="120" customFormat="false" ht="15" hidden="false" customHeight="false" outlineLevel="0" collapsed="false">
      <c r="A120" s="10"/>
      <c r="B120" s="11"/>
      <c r="C120" s="11"/>
      <c r="D120" s="11"/>
      <c r="E120" s="12" t="str">
        <f aca="false">IF(C120="","",IFERROR(INDEX(Packages!$B$5:$B$8,MATCH(C120,Packages!$A$5:$A$8,0)),"Check package"))</f>
        <v/>
      </c>
      <c r="F120" s="11"/>
      <c r="G120" s="11"/>
    </row>
    <row r="121" customFormat="false" ht="15" hidden="false" customHeight="false" outlineLevel="0" collapsed="false">
      <c r="A121" s="10"/>
      <c r="B121" s="11"/>
      <c r="C121" s="11"/>
      <c r="D121" s="11"/>
      <c r="E121" s="12" t="str">
        <f aca="false">IF(C121="","",IFERROR(INDEX(Packages!$B$5:$B$8,MATCH(C121,Packages!$A$5:$A$8,0)),"Check package"))</f>
        <v/>
      </c>
      <c r="F121" s="11"/>
      <c r="G121" s="11"/>
    </row>
    <row r="122" customFormat="false" ht="15" hidden="false" customHeight="false" outlineLevel="0" collapsed="false">
      <c r="A122" s="10"/>
      <c r="B122" s="11"/>
      <c r="C122" s="11"/>
      <c r="D122" s="11"/>
      <c r="E122" s="12" t="str">
        <f aca="false">IF(C122="","",IFERROR(INDEX(Packages!$B$5:$B$8,MATCH(C122,Packages!$A$5:$A$8,0)),"Check package"))</f>
        <v/>
      </c>
      <c r="F122" s="11"/>
      <c r="G122" s="11"/>
    </row>
    <row r="123" customFormat="false" ht="15" hidden="false" customHeight="false" outlineLevel="0" collapsed="false">
      <c r="A123" s="10"/>
      <c r="B123" s="11"/>
      <c r="C123" s="11"/>
      <c r="D123" s="11"/>
      <c r="E123" s="12" t="str">
        <f aca="false">IF(C123="","",IFERROR(INDEX(Packages!$B$5:$B$8,MATCH(C123,Packages!$A$5:$A$8,0)),"Check package"))</f>
        <v/>
      </c>
      <c r="F123" s="11"/>
      <c r="G123" s="11"/>
    </row>
    <row r="124" customFormat="false" ht="15" hidden="false" customHeight="false" outlineLevel="0" collapsed="false">
      <c r="A124" s="10"/>
      <c r="B124" s="11"/>
      <c r="C124" s="11"/>
      <c r="D124" s="11"/>
      <c r="E124" s="12" t="str">
        <f aca="false">IF(C124="","",IFERROR(INDEX(Packages!$B$5:$B$8,MATCH(C124,Packages!$A$5:$A$8,0)),"Check package"))</f>
        <v/>
      </c>
      <c r="F124" s="11"/>
      <c r="G124" s="11"/>
    </row>
    <row r="125" customFormat="false" ht="15" hidden="false" customHeight="false" outlineLevel="0" collapsed="false">
      <c r="A125" s="10"/>
      <c r="B125" s="11"/>
      <c r="C125" s="11"/>
      <c r="D125" s="11"/>
      <c r="E125" s="12" t="str">
        <f aca="false">IF(C125="","",IFERROR(INDEX(Packages!$B$5:$B$8,MATCH(C125,Packages!$A$5:$A$8,0)),"Check package"))</f>
        <v/>
      </c>
      <c r="F125" s="11"/>
      <c r="G125" s="11"/>
    </row>
    <row r="126" customFormat="false" ht="15" hidden="false" customHeight="false" outlineLevel="0" collapsed="false">
      <c r="A126" s="10"/>
      <c r="B126" s="11"/>
      <c r="C126" s="11"/>
      <c r="D126" s="11"/>
      <c r="E126" s="12" t="str">
        <f aca="false">IF(C126="","",IFERROR(INDEX(Packages!$B$5:$B$8,MATCH(C126,Packages!$A$5:$A$8,0)),"Check package"))</f>
        <v/>
      </c>
      <c r="F126" s="11"/>
      <c r="G126" s="11"/>
    </row>
    <row r="127" customFormat="false" ht="15" hidden="false" customHeight="false" outlineLevel="0" collapsed="false">
      <c r="A127" s="10"/>
      <c r="B127" s="11"/>
      <c r="C127" s="11"/>
      <c r="D127" s="11"/>
      <c r="E127" s="12" t="str">
        <f aca="false">IF(C127="","",IFERROR(INDEX(Packages!$B$5:$B$8,MATCH(C127,Packages!$A$5:$A$8,0)),"Check package"))</f>
        <v/>
      </c>
      <c r="F127" s="11"/>
      <c r="G127" s="11"/>
    </row>
    <row r="128" customFormat="false" ht="15" hidden="false" customHeight="false" outlineLevel="0" collapsed="false">
      <c r="A128" s="10"/>
      <c r="B128" s="11"/>
      <c r="C128" s="11"/>
      <c r="D128" s="11"/>
      <c r="E128" s="12" t="str">
        <f aca="false">IF(C128="","",IFERROR(INDEX(Packages!$B$5:$B$8,MATCH(C128,Packages!$A$5:$A$8,0)),"Check package"))</f>
        <v/>
      </c>
      <c r="F128" s="11"/>
      <c r="G128" s="11"/>
    </row>
    <row r="129" customFormat="false" ht="15" hidden="false" customHeight="false" outlineLevel="0" collapsed="false">
      <c r="A129" s="10"/>
      <c r="B129" s="11"/>
      <c r="C129" s="11"/>
      <c r="D129" s="11"/>
      <c r="E129" s="12" t="str">
        <f aca="false">IF(C129="","",IFERROR(INDEX(Packages!$B$5:$B$8,MATCH(C129,Packages!$A$5:$A$8,0)),"Check package"))</f>
        <v/>
      </c>
      <c r="F129" s="11"/>
      <c r="G129" s="11"/>
    </row>
    <row r="130" customFormat="false" ht="15" hidden="false" customHeight="false" outlineLevel="0" collapsed="false">
      <c r="A130" s="10"/>
      <c r="B130" s="11"/>
      <c r="C130" s="11"/>
      <c r="D130" s="11"/>
      <c r="E130" s="12" t="str">
        <f aca="false">IF(C130="","",IFERROR(INDEX(Packages!$B$5:$B$8,MATCH(C130,Packages!$A$5:$A$8,0)),"Check package"))</f>
        <v/>
      </c>
      <c r="F130" s="11"/>
      <c r="G130" s="11"/>
    </row>
    <row r="131" customFormat="false" ht="15" hidden="false" customHeight="false" outlineLevel="0" collapsed="false">
      <c r="A131" s="10"/>
      <c r="B131" s="11"/>
      <c r="C131" s="11"/>
      <c r="D131" s="11"/>
      <c r="E131" s="12" t="str">
        <f aca="false">IF(C131="","",IFERROR(INDEX(Packages!$B$5:$B$8,MATCH(C131,Packages!$A$5:$A$8,0)),"Check package"))</f>
        <v/>
      </c>
      <c r="F131" s="11"/>
      <c r="G131" s="11"/>
    </row>
    <row r="132" customFormat="false" ht="15" hidden="false" customHeight="false" outlineLevel="0" collapsed="false">
      <c r="A132" s="10"/>
      <c r="B132" s="11"/>
      <c r="C132" s="11"/>
      <c r="D132" s="11"/>
      <c r="E132" s="12" t="str">
        <f aca="false">IF(C132="","",IFERROR(INDEX(Packages!$B$5:$B$8,MATCH(C132,Packages!$A$5:$A$8,0)),"Check package"))</f>
        <v/>
      </c>
      <c r="F132" s="11"/>
      <c r="G132" s="11"/>
    </row>
    <row r="133" customFormat="false" ht="15" hidden="false" customHeight="false" outlineLevel="0" collapsed="false">
      <c r="A133" s="10"/>
      <c r="B133" s="11"/>
      <c r="C133" s="11"/>
      <c r="D133" s="11"/>
      <c r="E133" s="12" t="str">
        <f aca="false">IF(C133="","",IFERROR(INDEX(Packages!$B$5:$B$8,MATCH(C133,Packages!$A$5:$A$8,0)),"Check package"))</f>
        <v/>
      </c>
      <c r="F133" s="11"/>
      <c r="G133" s="11"/>
    </row>
    <row r="134" customFormat="false" ht="15" hidden="false" customHeight="false" outlineLevel="0" collapsed="false">
      <c r="A134" s="10"/>
      <c r="B134" s="11"/>
      <c r="C134" s="11"/>
      <c r="D134" s="11"/>
      <c r="E134" s="12" t="str">
        <f aca="false">IF(C134="","",IFERROR(INDEX(Packages!$B$5:$B$8,MATCH(C134,Packages!$A$5:$A$8,0)),"Check package"))</f>
        <v/>
      </c>
      <c r="F134" s="11"/>
      <c r="G134" s="11"/>
    </row>
    <row r="135" customFormat="false" ht="15" hidden="false" customHeight="false" outlineLevel="0" collapsed="false">
      <c r="A135" s="10"/>
      <c r="B135" s="11"/>
      <c r="C135" s="11"/>
      <c r="D135" s="11"/>
      <c r="E135" s="12" t="str">
        <f aca="false">IF(C135="","",IFERROR(INDEX(Packages!$B$5:$B$8,MATCH(C135,Packages!$A$5:$A$8,0)),"Check package"))</f>
        <v/>
      </c>
      <c r="F135" s="11"/>
      <c r="G135" s="11"/>
    </row>
    <row r="136" customFormat="false" ht="15" hidden="false" customHeight="false" outlineLevel="0" collapsed="false">
      <c r="A136" s="10"/>
      <c r="B136" s="11"/>
      <c r="C136" s="11"/>
      <c r="D136" s="11"/>
      <c r="E136" s="12" t="str">
        <f aca="false">IF(C136="","",IFERROR(INDEX(Packages!$B$5:$B$8,MATCH(C136,Packages!$A$5:$A$8,0)),"Check package"))</f>
        <v/>
      </c>
      <c r="F136" s="11"/>
      <c r="G136" s="11"/>
    </row>
    <row r="137" customFormat="false" ht="15" hidden="false" customHeight="false" outlineLevel="0" collapsed="false">
      <c r="A137" s="10"/>
      <c r="B137" s="11"/>
      <c r="C137" s="11"/>
      <c r="D137" s="11"/>
      <c r="E137" s="12" t="str">
        <f aca="false">IF(C137="","",IFERROR(INDEX(Packages!$B$5:$B$8,MATCH(C137,Packages!$A$5:$A$8,0)),"Check package"))</f>
        <v/>
      </c>
      <c r="F137" s="11"/>
      <c r="G137" s="11"/>
    </row>
    <row r="138" customFormat="false" ht="15" hidden="false" customHeight="false" outlineLevel="0" collapsed="false">
      <c r="A138" s="10"/>
      <c r="B138" s="11"/>
      <c r="C138" s="11"/>
      <c r="D138" s="11"/>
      <c r="E138" s="12" t="str">
        <f aca="false">IF(C138="","",IFERROR(INDEX(Packages!$B$5:$B$8,MATCH(C138,Packages!$A$5:$A$8,0)),"Check package"))</f>
        <v/>
      </c>
      <c r="F138" s="11"/>
      <c r="G138" s="11"/>
    </row>
    <row r="139" customFormat="false" ht="15" hidden="false" customHeight="false" outlineLevel="0" collapsed="false">
      <c r="A139" s="10"/>
      <c r="B139" s="11"/>
      <c r="C139" s="11"/>
      <c r="D139" s="11"/>
      <c r="E139" s="12" t="str">
        <f aca="false">IF(C139="","",IFERROR(INDEX(Packages!$B$5:$B$8,MATCH(C139,Packages!$A$5:$A$8,0)),"Check package"))</f>
        <v/>
      </c>
      <c r="F139" s="11"/>
      <c r="G139" s="11"/>
    </row>
    <row r="140" customFormat="false" ht="15" hidden="false" customHeight="false" outlineLevel="0" collapsed="false">
      <c r="A140" s="10"/>
      <c r="B140" s="11"/>
      <c r="C140" s="11"/>
      <c r="D140" s="11"/>
      <c r="E140" s="12" t="str">
        <f aca="false">IF(C140="","",IFERROR(INDEX(Packages!$B$5:$B$8,MATCH(C140,Packages!$A$5:$A$8,0)),"Check package"))</f>
        <v/>
      </c>
      <c r="F140" s="11"/>
      <c r="G140" s="11"/>
    </row>
    <row r="141" customFormat="false" ht="15" hidden="false" customHeight="false" outlineLevel="0" collapsed="false">
      <c r="A141" s="10"/>
      <c r="B141" s="11"/>
      <c r="C141" s="11"/>
      <c r="D141" s="11"/>
      <c r="E141" s="12" t="str">
        <f aca="false">IF(C141="","",IFERROR(INDEX(Packages!$B$5:$B$8,MATCH(C141,Packages!$A$5:$A$8,0)),"Check package"))</f>
        <v/>
      </c>
      <c r="F141" s="11"/>
      <c r="G141" s="11"/>
    </row>
    <row r="142" customFormat="false" ht="15" hidden="false" customHeight="false" outlineLevel="0" collapsed="false">
      <c r="A142" s="10"/>
      <c r="B142" s="11"/>
      <c r="C142" s="11"/>
      <c r="D142" s="11"/>
      <c r="E142" s="12" t="str">
        <f aca="false">IF(C142="","",IFERROR(INDEX(Packages!$B$5:$B$8,MATCH(C142,Packages!$A$5:$A$8,0)),"Check package"))</f>
        <v/>
      </c>
      <c r="F142" s="11"/>
      <c r="G142" s="11"/>
    </row>
    <row r="143" customFormat="false" ht="15" hidden="false" customHeight="false" outlineLevel="0" collapsed="false">
      <c r="A143" s="10"/>
      <c r="B143" s="11"/>
      <c r="C143" s="11"/>
      <c r="D143" s="11"/>
      <c r="E143" s="12" t="str">
        <f aca="false">IF(C143="","",IFERROR(INDEX(Packages!$B$5:$B$8,MATCH(C143,Packages!$A$5:$A$8,0)),"Check package"))</f>
        <v/>
      </c>
      <c r="F143" s="11"/>
      <c r="G143" s="11"/>
    </row>
    <row r="144" customFormat="false" ht="15" hidden="false" customHeight="false" outlineLevel="0" collapsed="false">
      <c r="A144" s="10"/>
      <c r="B144" s="11"/>
      <c r="C144" s="11"/>
      <c r="D144" s="11"/>
      <c r="E144" s="12" t="str">
        <f aca="false">IF(C144="","",IFERROR(INDEX(Packages!$B$5:$B$8,MATCH(C144,Packages!$A$5:$A$8,0)),"Check package"))</f>
        <v/>
      </c>
      <c r="F144" s="11"/>
      <c r="G144" s="11"/>
    </row>
    <row r="145" customFormat="false" ht="15" hidden="false" customHeight="false" outlineLevel="0" collapsed="false">
      <c r="A145" s="10"/>
      <c r="B145" s="11"/>
      <c r="C145" s="11"/>
      <c r="D145" s="11"/>
      <c r="E145" s="12" t="str">
        <f aca="false">IF(C145="","",IFERROR(INDEX(Packages!$B$5:$B$8,MATCH(C145,Packages!$A$5:$A$8,0)),"Check package"))</f>
        <v/>
      </c>
      <c r="F145" s="11"/>
      <c r="G145" s="11"/>
    </row>
    <row r="146" customFormat="false" ht="15" hidden="false" customHeight="false" outlineLevel="0" collapsed="false">
      <c r="A146" s="10"/>
      <c r="B146" s="11"/>
      <c r="C146" s="11"/>
      <c r="D146" s="11"/>
      <c r="E146" s="12" t="str">
        <f aca="false">IF(C146="","",IFERROR(INDEX(Packages!$B$5:$B$8,MATCH(C146,Packages!$A$5:$A$8,0)),"Check package"))</f>
        <v/>
      </c>
      <c r="F146" s="11"/>
      <c r="G146" s="11"/>
    </row>
    <row r="147" customFormat="false" ht="15" hidden="false" customHeight="false" outlineLevel="0" collapsed="false">
      <c r="A147" s="10"/>
      <c r="B147" s="11"/>
      <c r="C147" s="11"/>
      <c r="D147" s="11"/>
      <c r="E147" s="12" t="str">
        <f aca="false">IF(C147="","",IFERROR(INDEX(Packages!$B$5:$B$8,MATCH(C147,Packages!$A$5:$A$8,0)),"Check package"))</f>
        <v/>
      </c>
      <c r="F147" s="11"/>
      <c r="G147" s="11"/>
    </row>
    <row r="148" customFormat="false" ht="15" hidden="false" customHeight="false" outlineLevel="0" collapsed="false">
      <c r="A148" s="10"/>
      <c r="B148" s="11"/>
      <c r="C148" s="11"/>
      <c r="D148" s="11"/>
      <c r="E148" s="12" t="str">
        <f aca="false">IF(C148="","",IFERROR(INDEX(Packages!$B$5:$B$8,MATCH(C148,Packages!$A$5:$A$8,0)),"Check package"))</f>
        <v/>
      </c>
      <c r="F148" s="11"/>
      <c r="G148" s="11"/>
    </row>
    <row r="149" customFormat="false" ht="15" hidden="false" customHeight="false" outlineLevel="0" collapsed="false">
      <c r="A149" s="10"/>
      <c r="B149" s="11"/>
      <c r="C149" s="11"/>
      <c r="D149" s="11"/>
      <c r="E149" s="12" t="str">
        <f aca="false">IF(C149="","",IFERROR(INDEX(Packages!$B$5:$B$8,MATCH(C149,Packages!$A$5:$A$8,0)),"Check package"))</f>
        <v/>
      </c>
      <c r="F149" s="11"/>
      <c r="G149" s="11"/>
    </row>
    <row r="150" customFormat="false" ht="15" hidden="false" customHeight="false" outlineLevel="0" collapsed="false">
      <c r="A150" s="10"/>
      <c r="B150" s="11"/>
      <c r="C150" s="11"/>
      <c r="D150" s="11"/>
      <c r="E150" s="12" t="str">
        <f aca="false">IF(C150="","",IFERROR(INDEX(Packages!$B$5:$B$8,MATCH(C150,Packages!$A$5:$A$8,0)),"Check package"))</f>
        <v/>
      </c>
      <c r="F150" s="11"/>
      <c r="G150" s="11"/>
    </row>
    <row r="151" customFormat="false" ht="15" hidden="false" customHeight="false" outlineLevel="0" collapsed="false">
      <c r="A151" s="10"/>
      <c r="B151" s="11"/>
      <c r="C151" s="11"/>
      <c r="D151" s="11"/>
      <c r="E151" s="12" t="str">
        <f aca="false">IF(C151="","",IFERROR(INDEX(Packages!$B$5:$B$8,MATCH(C151,Packages!$A$5:$A$8,0)),"Check package"))</f>
        <v/>
      </c>
      <c r="F151" s="11"/>
      <c r="G151" s="11"/>
    </row>
    <row r="152" customFormat="false" ht="15" hidden="false" customHeight="false" outlineLevel="0" collapsed="false">
      <c r="A152" s="10"/>
      <c r="B152" s="11"/>
      <c r="C152" s="11"/>
      <c r="D152" s="11"/>
      <c r="E152" s="12" t="str">
        <f aca="false">IF(C152="","",IFERROR(INDEX(Packages!$B$5:$B$8,MATCH(C152,Packages!$A$5:$A$8,0)),"Check package"))</f>
        <v/>
      </c>
      <c r="F152" s="11"/>
      <c r="G152" s="11"/>
    </row>
    <row r="153" customFormat="false" ht="15" hidden="false" customHeight="false" outlineLevel="0" collapsed="false">
      <c r="A153" s="10"/>
      <c r="B153" s="11"/>
      <c r="C153" s="11"/>
      <c r="D153" s="11"/>
      <c r="E153" s="12" t="str">
        <f aca="false">IF(C153="","",IFERROR(INDEX(Packages!$B$5:$B$8,MATCH(C153,Packages!$A$5:$A$8,0)),"Check package"))</f>
        <v/>
      </c>
      <c r="F153" s="11"/>
      <c r="G153" s="11"/>
    </row>
    <row r="154" customFormat="false" ht="15" hidden="false" customHeight="false" outlineLevel="0" collapsed="false">
      <c r="A154" s="10"/>
      <c r="B154" s="11"/>
      <c r="C154" s="11"/>
      <c r="D154" s="11"/>
      <c r="E154" s="12" t="str">
        <f aca="false">IF(C154="","",IFERROR(INDEX(Packages!$B$5:$B$8,MATCH(C154,Packages!$A$5:$A$8,0)),"Check package"))</f>
        <v/>
      </c>
      <c r="F154" s="11"/>
      <c r="G154" s="11"/>
    </row>
    <row r="155" customFormat="false" ht="15" hidden="false" customHeight="false" outlineLevel="0" collapsed="false">
      <c r="A155" s="10"/>
      <c r="B155" s="11"/>
      <c r="C155" s="11"/>
      <c r="D155" s="11"/>
      <c r="E155" s="12" t="str">
        <f aca="false">IF(C155="","",IFERROR(INDEX(Packages!$B$5:$B$8,MATCH(C155,Packages!$A$5:$A$8,0)),"Check package"))</f>
        <v/>
      </c>
      <c r="F155" s="11"/>
      <c r="G155" s="11"/>
    </row>
    <row r="156" customFormat="false" ht="15" hidden="false" customHeight="false" outlineLevel="0" collapsed="false">
      <c r="A156" s="10"/>
      <c r="B156" s="11"/>
      <c r="C156" s="11"/>
      <c r="D156" s="11"/>
      <c r="E156" s="12" t="str">
        <f aca="false">IF(C156="","",IFERROR(INDEX(Packages!$B$5:$B$8,MATCH(C156,Packages!$A$5:$A$8,0)),"Check package"))</f>
        <v/>
      </c>
      <c r="F156" s="11"/>
      <c r="G156" s="11"/>
    </row>
    <row r="157" customFormat="false" ht="15" hidden="false" customHeight="false" outlineLevel="0" collapsed="false">
      <c r="A157" s="10"/>
      <c r="B157" s="11"/>
      <c r="C157" s="11"/>
      <c r="D157" s="11"/>
      <c r="E157" s="12" t="str">
        <f aca="false">IF(C157="","",IFERROR(INDEX(Packages!$B$5:$B$8,MATCH(C157,Packages!$A$5:$A$8,0)),"Check package"))</f>
        <v/>
      </c>
      <c r="F157" s="11"/>
      <c r="G157" s="11"/>
    </row>
    <row r="158" customFormat="false" ht="15" hidden="false" customHeight="false" outlineLevel="0" collapsed="false">
      <c r="A158" s="10"/>
      <c r="B158" s="11"/>
      <c r="C158" s="11"/>
      <c r="D158" s="11"/>
      <c r="E158" s="12" t="str">
        <f aca="false">IF(C158="","",IFERROR(INDEX(Packages!$B$5:$B$8,MATCH(C158,Packages!$A$5:$A$8,0)),"Check package"))</f>
        <v/>
      </c>
      <c r="F158" s="11"/>
      <c r="G158" s="11"/>
    </row>
    <row r="159" customFormat="false" ht="15" hidden="false" customHeight="false" outlineLevel="0" collapsed="false">
      <c r="A159" s="10"/>
      <c r="B159" s="11"/>
      <c r="C159" s="11"/>
      <c r="D159" s="11"/>
      <c r="E159" s="12" t="str">
        <f aca="false">IF(C159="","",IFERROR(INDEX(Packages!$B$5:$B$8,MATCH(C159,Packages!$A$5:$A$8,0)),"Check package"))</f>
        <v/>
      </c>
      <c r="F159" s="11"/>
      <c r="G159" s="11"/>
    </row>
    <row r="160" customFormat="false" ht="15" hidden="false" customHeight="false" outlineLevel="0" collapsed="false">
      <c r="A160" s="10"/>
      <c r="B160" s="11"/>
      <c r="C160" s="11"/>
      <c r="D160" s="11"/>
      <c r="E160" s="12" t="str">
        <f aca="false">IF(C160="","",IFERROR(INDEX(Packages!$B$5:$B$8,MATCH(C160,Packages!$A$5:$A$8,0)),"Check package"))</f>
        <v/>
      </c>
      <c r="F160" s="11"/>
      <c r="G160" s="11"/>
    </row>
    <row r="161" customFormat="false" ht="15" hidden="false" customHeight="false" outlineLevel="0" collapsed="false">
      <c r="A161" s="10"/>
      <c r="B161" s="11"/>
      <c r="C161" s="11"/>
      <c r="D161" s="11"/>
      <c r="E161" s="12" t="str">
        <f aca="false">IF(C161="","",IFERROR(INDEX(Packages!$B$5:$B$8,MATCH(C161,Packages!$A$5:$A$8,0)),"Check package"))</f>
        <v/>
      </c>
      <c r="F161" s="11"/>
      <c r="G161" s="11"/>
    </row>
    <row r="162" customFormat="false" ht="15" hidden="false" customHeight="false" outlineLevel="0" collapsed="false">
      <c r="A162" s="10"/>
      <c r="B162" s="11"/>
      <c r="C162" s="11"/>
      <c r="D162" s="11"/>
      <c r="E162" s="12" t="str">
        <f aca="false">IF(C162="","",IFERROR(INDEX(Packages!$B$5:$B$8,MATCH(C162,Packages!$A$5:$A$8,0)),"Check package"))</f>
        <v/>
      </c>
      <c r="F162" s="11"/>
      <c r="G162" s="11"/>
    </row>
    <row r="163" customFormat="false" ht="15" hidden="false" customHeight="false" outlineLevel="0" collapsed="false">
      <c r="A163" s="10"/>
      <c r="B163" s="11"/>
      <c r="C163" s="11"/>
      <c r="D163" s="11"/>
      <c r="E163" s="12" t="str">
        <f aca="false">IF(C163="","",IFERROR(INDEX(Packages!$B$5:$B$8,MATCH(C163,Packages!$A$5:$A$8,0)),"Check package"))</f>
        <v/>
      </c>
      <c r="F163" s="11"/>
      <c r="G163" s="11"/>
    </row>
    <row r="164" customFormat="false" ht="15" hidden="false" customHeight="false" outlineLevel="0" collapsed="false">
      <c r="A164" s="10"/>
      <c r="B164" s="11"/>
      <c r="C164" s="11"/>
      <c r="D164" s="11"/>
      <c r="E164" s="12" t="str">
        <f aca="false">IF(C164="","",IFERROR(INDEX(Packages!$B$5:$B$8,MATCH(C164,Packages!$A$5:$A$8,0)),"Check package"))</f>
        <v/>
      </c>
      <c r="F164" s="11"/>
      <c r="G164" s="11"/>
    </row>
    <row r="165" customFormat="false" ht="15" hidden="false" customHeight="false" outlineLevel="0" collapsed="false">
      <c r="A165" s="10"/>
      <c r="B165" s="11"/>
      <c r="C165" s="11"/>
      <c r="D165" s="11"/>
      <c r="E165" s="12" t="str">
        <f aca="false">IF(C165="","",IFERROR(INDEX(Packages!$B$5:$B$8,MATCH(C165,Packages!$A$5:$A$8,0)),"Check package"))</f>
        <v/>
      </c>
      <c r="F165" s="11"/>
      <c r="G165" s="11"/>
    </row>
    <row r="166" customFormat="false" ht="15" hidden="false" customHeight="false" outlineLevel="0" collapsed="false">
      <c r="A166" s="10"/>
      <c r="B166" s="11"/>
      <c r="C166" s="11"/>
      <c r="D166" s="11"/>
      <c r="E166" s="12" t="str">
        <f aca="false">IF(C166="","",IFERROR(INDEX(Packages!$B$5:$B$8,MATCH(C166,Packages!$A$5:$A$8,0)),"Check package"))</f>
        <v/>
      </c>
      <c r="F166" s="11"/>
      <c r="G166" s="11"/>
    </row>
    <row r="167" customFormat="false" ht="15" hidden="false" customHeight="false" outlineLevel="0" collapsed="false">
      <c r="A167" s="10"/>
      <c r="B167" s="11"/>
      <c r="C167" s="11"/>
      <c r="D167" s="11"/>
      <c r="E167" s="12" t="str">
        <f aca="false">IF(C167="","",IFERROR(INDEX(Packages!$B$5:$B$8,MATCH(C167,Packages!$A$5:$A$8,0)),"Check package"))</f>
        <v/>
      </c>
      <c r="F167" s="11"/>
      <c r="G167" s="11"/>
    </row>
    <row r="168" customFormat="false" ht="15" hidden="false" customHeight="false" outlineLevel="0" collapsed="false">
      <c r="A168" s="10"/>
      <c r="B168" s="11"/>
      <c r="C168" s="11"/>
      <c r="D168" s="11"/>
      <c r="E168" s="12" t="str">
        <f aca="false">IF(C168="","",IFERROR(INDEX(Packages!$B$5:$B$8,MATCH(C168,Packages!$A$5:$A$8,0)),"Check package"))</f>
        <v/>
      </c>
      <c r="F168" s="11"/>
      <c r="G168" s="11"/>
    </row>
    <row r="169" customFormat="false" ht="15" hidden="false" customHeight="false" outlineLevel="0" collapsed="false">
      <c r="A169" s="10"/>
      <c r="B169" s="11"/>
      <c r="C169" s="11"/>
      <c r="D169" s="11"/>
      <c r="E169" s="12" t="str">
        <f aca="false">IF(C169="","",IFERROR(INDEX(Packages!$B$5:$B$8,MATCH(C169,Packages!$A$5:$A$8,0)),"Check package"))</f>
        <v/>
      </c>
      <c r="F169" s="11"/>
      <c r="G169" s="11"/>
    </row>
    <row r="170" customFormat="false" ht="15" hidden="false" customHeight="false" outlineLevel="0" collapsed="false">
      <c r="A170" s="10"/>
      <c r="B170" s="11"/>
      <c r="C170" s="11"/>
      <c r="D170" s="11"/>
      <c r="E170" s="12" t="str">
        <f aca="false">IF(C170="","",IFERROR(INDEX(Packages!$B$5:$B$8,MATCH(C170,Packages!$A$5:$A$8,0)),"Check package"))</f>
        <v/>
      </c>
      <c r="F170" s="11"/>
      <c r="G170" s="11"/>
    </row>
    <row r="171" customFormat="false" ht="15" hidden="false" customHeight="false" outlineLevel="0" collapsed="false">
      <c r="A171" s="10"/>
      <c r="B171" s="11"/>
      <c r="C171" s="11"/>
      <c r="D171" s="11"/>
      <c r="E171" s="12" t="str">
        <f aca="false">IF(C171="","",IFERROR(INDEX(Packages!$B$5:$B$8,MATCH(C171,Packages!$A$5:$A$8,0)),"Check package"))</f>
        <v/>
      </c>
      <c r="F171" s="11"/>
      <c r="G171" s="11"/>
    </row>
    <row r="172" customFormat="false" ht="15" hidden="false" customHeight="false" outlineLevel="0" collapsed="false">
      <c r="A172" s="10"/>
      <c r="B172" s="11"/>
      <c r="C172" s="11"/>
      <c r="D172" s="11"/>
      <c r="E172" s="12" t="str">
        <f aca="false">IF(C172="","",IFERROR(INDEX(Packages!$B$5:$B$8,MATCH(C172,Packages!$A$5:$A$8,0)),"Check package"))</f>
        <v/>
      </c>
      <c r="F172" s="11"/>
      <c r="G172" s="11"/>
    </row>
    <row r="173" customFormat="false" ht="15" hidden="false" customHeight="false" outlineLevel="0" collapsed="false">
      <c r="A173" s="10"/>
      <c r="B173" s="11"/>
      <c r="C173" s="11"/>
      <c r="D173" s="11"/>
      <c r="E173" s="12" t="str">
        <f aca="false">IF(C173="","",IFERROR(INDEX(Packages!$B$5:$B$8,MATCH(C173,Packages!$A$5:$A$8,0)),"Check package"))</f>
        <v/>
      </c>
      <c r="F173" s="11"/>
      <c r="G173" s="11"/>
    </row>
    <row r="174" customFormat="false" ht="15" hidden="false" customHeight="false" outlineLevel="0" collapsed="false">
      <c r="A174" s="10"/>
      <c r="B174" s="11"/>
      <c r="C174" s="11"/>
      <c r="D174" s="11"/>
      <c r="E174" s="12" t="str">
        <f aca="false">IF(C174="","",IFERROR(INDEX(Packages!$B$5:$B$8,MATCH(C174,Packages!$A$5:$A$8,0)),"Check package"))</f>
        <v/>
      </c>
      <c r="F174" s="11"/>
      <c r="G174" s="11"/>
    </row>
    <row r="175" customFormat="false" ht="15" hidden="false" customHeight="false" outlineLevel="0" collapsed="false">
      <c r="A175" s="10"/>
      <c r="B175" s="11"/>
      <c r="C175" s="11"/>
      <c r="D175" s="11"/>
      <c r="E175" s="12" t="str">
        <f aca="false">IF(C175="","",IFERROR(INDEX(Packages!$B$5:$B$8,MATCH(C175,Packages!$A$5:$A$8,0)),"Check package"))</f>
        <v/>
      </c>
      <c r="F175" s="11"/>
      <c r="G175" s="11"/>
    </row>
    <row r="176" customFormat="false" ht="15" hidden="false" customHeight="false" outlineLevel="0" collapsed="false">
      <c r="A176" s="10"/>
      <c r="B176" s="11"/>
      <c r="C176" s="11"/>
      <c r="D176" s="11"/>
      <c r="E176" s="12" t="str">
        <f aca="false">IF(C176="","",IFERROR(INDEX(Packages!$B$5:$B$8,MATCH(C176,Packages!$A$5:$A$8,0)),"Check package"))</f>
        <v/>
      </c>
      <c r="F176" s="11"/>
      <c r="G176" s="11"/>
    </row>
    <row r="177" customFormat="false" ht="15" hidden="false" customHeight="false" outlineLevel="0" collapsed="false">
      <c r="A177" s="10"/>
      <c r="B177" s="11"/>
      <c r="C177" s="11"/>
      <c r="D177" s="11"/>
      <c r="E177" s="12" t="str">
        <f aca="false">IF(C177="","",IFERROR(INDEX(Packages!$B$5:$B$8,MATCH(C177,Packages!$A$5:$A$8,0)),"Check package"))</f>
        <v/>
      </c>
      <c r="F177" s="11"/>
      <c r="G177" s="11"/>
    </row>
    <row r="178" customFormat="false" ht="15" hidden="false" customHeight="false" outlineLevel="0" collapsed="false">
      <c r="A178" s="10"/>
      <c r="B178" s="11"/>
      <c r="C178" s="11"/>
      <c r="D178" s="11"/>
      <c r="E178" s="12" t="str">
        <f aca="false">IF(C178="","",IFERROR(INDEX(Packages!$B$5:$B$8,MATCH(C178,Packages!$A$5:$A$8,0)),"Check package"))</f>
        <v/>
      </c>
      <c r="F178" s="11"/>
      <c r="G178" s="11"/>
    </row>
    <row r="179" customFormat="false" ht="15" hidden="false" customHeight="false" outlineLevel="0" collapsed="false">
      <c r="A179" s="10"/>
      <c r="B179" s="11"/>
      <c r="C179" s="11"/>
      <c r="D179" s="11"/>
      <c r="E179" s="12" t="str">
        <f aca="false">IF(C179="","",IFERROR(INDEX(Packages!$B$5:$B$8,MATCH(C179,Packages!$A$5:$A$8,0)),"Check package"))</f>
        <v/>
      </c>
      <c r="F179" s="11"/>
      <c r="G179" s="11"/>
    </row>
    <row r="180" customFormat="false" ht="15" hidden="false" customHeight="false" outlineLevel="0" collapsed="false">
      <c r="A180" s="10"/>
      <c r="B180" s="11"/>
      <c r="C180" s="11"/>
      <c r="D180" s="11"/>
      <c r="E180" s="12" t="str">
        <f aca="false">IF(C180="","",IFERROR(INDEX(Packages!$B$5:$B$8,MATCH(C180,Packages!$A$5:$A$8,0)),"Check package"))</f>
        <v/>
      </c>
      <c r="F180" s="11"/>
      <c r="G180" s="11"/>
    </row>
    <row r="181" customFormat="false" ht="15" hidden="false" customHeight="false" outlineLevel="0" collapsed="false">
      <c r="A181" s="10"/>
      <c r="B181" s="11"/>
      <c r="C181" s="11"/>
      <c r="D181" s="11"/>
      <c r="E181" s="12" t="str">
        <f aca="false">IF(C181="","",IFERROR(INDEX(Packages!$B$5:$B$8,MATCH(C181,Packages!$A$5:$A$8,0)),"Check package"))</f>
        <v/>
      </c>
      <c r="F181" s="11"/>
      <c r="G181" s="11"/>
    </row>
    <row r="182" customFormat="false" ht="15" hidden="false" customHeight="false" outlineLevel="0" collapsed="false">
      <c r="A182" s="10"/>
      <c r="B182" s="11"/>
      <c r="C182" s="11"/>
      <c r="D182" s="11"/>
      <c r="E182" s="12" t="str">
        <f aca="false">IF(C182="","",IFERROR(INDEX(Packages!$B$5:$B$8,MATCH(C182,Packages!$A$5:$A$8,0)),"Check package"))</f>
        <v/>
      </c>
      <c r="F182" s="11"/>
      <c r="G182" s="11"/>
    </row>
    <row r="183" customFormat="false" ht="15" hidden="false" customHeight="false" outlineLevel="0" collapsed="false">
      <c r="A183" s="10"/>
      <c r="B183" s="11"/>
      <c r="C183" s="11"/>
      <c r="D183" s="11"/>
      <c r="E183" s="12" t="str">
        <f aca="false">IF(C183="","",IFERROR(INDEX(Packages!$B$5:$B$8,MATCH(C183,Packages!$A$5:$A$8,0)),"Check package"))</f>
        <v/>
      </c>
      <c r="F183" s="11"/>
      <c r="G183" s="11"/>
    </row>
    <row r="184" customFormat="false" ht="15" hidden="false" customHeight="false" outlineLevel="0" collapsed="false">
      <c r="A184" s="10"/>
      <c r="B184" s="11"/>
      <c r="C184" s="11"/>
      <c r="D184" s="11"/>
      <c r="E184" s="12" t="str">
        <f aca="false">IF(C184="","",IFERROR(INDEX(Packages!$B$5:$B$8,MATCH(C184,Packages!$A$5:$A$8,0)),"Check package"))</f>
        <v/>
      </c>
      <c r="F184" s="11"/>
      <c r="G184" s="11"/>
    </row>
    <row r="185" customFormat="false" ht="15" hidden="false" customHeight="false" outlineLevel="0" collapsed="false">
      <c r="A185" s="10"/>
      <c r="B185" s="11"/>
      <c r="C185" s="11"/>
      <c r="D185" s="11"/>
      <c r="E185" s="12" t="str">
        <f aca="false">IF(C185="","",IFERROR(INDEX(Packages!$B$5:$B$8,MATCH(C185,Packages!$A$5:$A$8,0)),"Check package"))</f>
        <v/>
      </c>
      <c r="F185" s="11"/>
      <c r="G185" s="11"/>
    </row>
    <row r="186" customFormat="false" ht="15" hidden="false" customHeight="false" outlineLevel="0" collapsed="false">
      <c r="A186" s="10"/>
      <c r="B186" s="11"/>
      <c r="C186" s="11"/>
      <c r="D186" s="11"/>
      <c r="E186" s="12" t="str">
        <f aca="false">IF(C186="","",IFERROR(INDEX(Packages!$B$5:$B$8,MATCH(C186,Packages!$A$5:$A$8,0)),"Check package"))</f>
        <v/>
      </c>
      <c r="F186" s="11"/>
      <c r="G186" s="11"/>
    </row>
    <row r="187" customFormat="false" ht="15" hidden="false" customHeight="false" outlineLevel="0" collapsed="false">
      <c r="A187" s="10"/>
      <c r="B187" s="11"/>
      <c r="C187" s="11"/>
      <c r="D187" s="11"/>
      <c r="E187" s="12" t="str">
        <f aca="false">IF(C187="","",IFERROR(INDEX(Packages!$B$5:$B$8,MATCH(C187,Packages!$A$5:$A$8,0)),"Check package"))</f>
        <v/>
      </c>
      <c r="F187" s="11"/>
      <c r="G187" s="11"/>
    </row>
    <row r="188" customFormat="false" ht="15" hidden="false" customHeight="false" outlineLevel="0" collapsed="false">
      <c r="A188" s="10"/>
      <c r="B188" s="11"/>
      <c r="C188" s="11"/>
      <c r="D188" s="11"/>
      <c r="E188" s="12" t="str">
        <f aca="false">IF(C188="","",IFERROR(INDEX(Packages!$B$5:$B$8,MATCH(C188,Packages!$A$5:$A$8,0)),"Check package"))</f>
        <v/>
      </c>
      <c r="F188" s="11"/>
      <c r="G188" s="11"/>
    </row>
    <row r="189" customFormat="false" ht="15" hidden="false" customHeight="false" outlineLevel="0" collapsed="false">
      <c r="A189" s="10"/>
      <c r="B189" s="11"/>
      <c r="C189" s="11"/>
      <c r="D189" s="11"/>
      <c r="E189" s="12" t="str">
        <f aca="false">IF(C189="","",IFERROR(INDEX(Packages!$B$5:$B$8,MATCH(C189,Packages!$A$5:$A$8,0)),"Check package"))</f>
        <v/>
      </c>
      <c r="F189" s="11"/>
      <c r="G189" s="11"/>
    </row>
    <row r="190" customFormat="false" ht="15" hidden="false" customHeight="false" outlineLevel="0" collapsed="false">
      <c r="A190" s="10"/>
      <c r="B190" s="11"/>
      <c r="C190" s="11"/>
      <c r="D190" s="11"/>
      <c r="E190" s="12" t="str">
        <f aca="false">IF(C190="","",IFERROR(INDEX(Packages!$B$5:$B$8,MATCH(C190,Packages!$A$5:$A$8,0)),"Check package"))</f>
        <v/>
      </c>
      <c r="F190" s="11"/>
      <c r="G190" s="11"/>
    </row>
    <row r="191" customFormat="false" ht="15" hidden="false" customHeight="false" outlineLevel="0" collapsed="false">
      <c r="A191" s="10"/>
      <c r="B191" s="11"/>
      <c r="C191" s="11"/>
      <c r="D191" s="11"/>
      <c r="E191" s="12" t="str">
        <f aca="false">IF(C191="","",IFERROR(INDEX(Packages!$B$5:$B$8,MATCH(C191,Packages!$A$5:$A$8,0)),"Check package"))</f>
        <v/>
      </c>
      <c r="F191" s="11"/>
      <c r="G191" s="11"/>
    </row>
    <row r="192" customFormat="false" ht="15" hidden="false" customHeight="false" outlineLevel="0" collapsed="false">
      <c r="A192" s="10"/>
      <c r="B192" s="11"/>
      <c r="C192" s="11"/>
      <c r="D192" s="11"/>
      <c r="E192" s="12" t="str">
        <f aca="false">IF(C192="","",IFERROR(INDEX(Packages!$B$5:$B$8,MATCH(C192,Packages!$A$5:$A$8,0)),"Check package"))</f>
        <v/>
      </c>
      <c r="F192" s="11"/>
      <c r="G192" s="11"/>
    </row>
    <row r="193" customFormat="false" ht="15" hidden="false" customHeight="false" outlineLevel="0" collapsed="false">
      <c r="A193" s="10"/>
      <c r="B193" s="11"/>
      <c r="C193" s="11"/>
      <c r="D193" s="11"/>
      <c r="E193" s="12" t="str">
        <f aca="false">IF(C193="","",IFERROR(INDEX(Packages!$B$5:$B$8,MATCH(C193,Packages!$A$5:$A$8,0)),"Check package"))</f>
        <v/>
      </c>
      <c r="F193" s="11"/>
      <c r="G193" s="11"/>
    </row>
    <row r="194" customFormat="false" ht="15" hidden="false" customHeight="false" outlineLevel="0" collapsed="false">
      <c r="A194" s="10"/>
      <c r="B194" s="11"/>
      <c r="C194" s="11"/>
      <c r="D194" s="11"/>
      <c r="E194" s="12" t="str">
        <f aca="false">IF(C194="","",IFERROR(INDEX(Packages!$B$5:$B$8,MATCH(C194,Packages!$A$5:$A$8,0)),"Check package"))</f>
        <v/>
      </c>
      <c r="F194" s="11"/>
      <c r="G194" s="11"/>
    </row>
    <row r="195" customFormat="false" ht="15" hidden="false" customHeight="false" outlineLevel="0" collapsed="false">
      <c r="A195" s="10"/>
      <c r="B195" s="11"/>
      <c r="C195" s="11"/>
      <c r="D195" s="11"/>
      <c r="E195" s="12" t="str">
        <f aca="false">IF(C195="","",IFERROR(INDEX(Packages!$B$5:$B$8,MATCH(C195,Packages!$A$5:$A$8,0)),"Check package"))</f>
        <v/>
      </c>
      <c r="F195" s="11"/>
      <c r="G195" s="11"/>
    </row>
    <row r="196" customFormat="false" ht="15" hidden="false" customHeight="false" outlineLevel="0" collapsed="false">
      <c r="A196" s="10"/>
      <c r="B196" s="11"/>
      <c r="C196" s="11"/>
      <c r="D196" s="11"/>
      <c r="E196" s="12" t="str">
        <f aca="false">IF(C196="","",IFERROR(INDEX(Packages!$B$5:$B$8,MATCH(C196,Packages!$A$5:$A$8,0)),"Check package"))</f>
        <v/>
      </c>
      <c r="F196" s="11"/>
      <c r="G196" s="11"/>
    </row>
    <row r="197" customFormat="false" ht="15" hidden="false" customHeight="false" outlineLevel="0" collapsed="false">
      <c r="A197" s="10"/>
      <c r="B197" s="11"/>
      <c r="C197" s="11"/>
      <c r="D197" s="11"/>
      <c r="E197" s="12" t="str">
        <f aca="false">IF(C197="","",IFERROR(INDEX(Packages!$B$5:$B$8,MATCH(C197,Packages!$A$5:$A$8,0)),"Check package"))</f>
        <v/>
      </c>
      <c r="F197" s="11"/>
      <c r="G197" s="11"/>
    </row>
    <row r="198" customFormat="false" ht="15" hidden="false" customHeight="false" outlineLevel="0" collapsed="false">
      <c r="A198" s="10"/>
      <c r="B198" s="11"/>
      <c r="C198" s="11"/>
      <c r="D198" s="11"/>
      <c r="E198" s="12" t="str">
        <f aca="false">IF(C198="","",IFERROR(INDEX(Packages!$B$5:$B$8,MATCH(C198,Packages!$A$5:$A$8,0)),"Check package"))</f>
        <v/>
      </c>
      <c r="F198" s="11"/>
      <c r="G198" s="11"/>
    </row>
    <row r="199" customFormat="false" ht="15" hidden="false" customHeight="false" outlineLevel="0" collapsed="false">
      <c r="A199" s="10"/>
      <c r="B199" s="11"/>
      <c r="C199" s="11"/>
      <c r="D199" s="11"/>
      <c r="E199" s="12" t="str">
        <f aca="false">IF(C199="","",IFERROR(INDEX(Packages!$B$5:$B$8,MATCH(C199,Packages!$A$5:$A$8,0)),"Check package"))</f>
        <v/>
      </c>
      <c r="F199" s="11"/>
      <c r="G199" s="11"/>
    </row>
    <row r="200" customFormat="false" ht="15" hidden="false" customHeight="false" outlineLevel="0" collapsed="false">
      <c r="A200" s="10"/>
      <c r="B200" s="11"/>
      <c r="C200" s="11"/>
      <c r="D200" s="11"/>
      <c r="E200" s="12" t="str">
        <f aca="false">IF(C200="","",IFERROR(INDEX(Packages!$B$5:$B$8,MATCH(C200,Packages!$A$5:$A$8,0)),"Check package"))</f>
        <v/>
      </c>
      <c r="F200" s="11"/>
      <c r="G200" s="11"/>
    </row>
    <row r="201" customFormat="false" ht="15" hidden="false" customHeight="false" outlineLevel="0" collapsed="false">
      <c r="A201" s="10"/>
      <c r="B201" s="11"/>
      <c r="C201" s="11"/>
      <c r="D201" s="11"/>
      <c r="E201" s="12" t="str">
        <f aca="false">IF(C201="","",IFERROR(INDEX(Packages!$B$5:$B$8,MATCH(C201,Packages!$A$5:$A$8,0)),"Check package"))</f>
        <v/>
      </c>
      <c r="F201" s="11"/>
      <c r="G201" s="11"/>
    </row>
    <row r="202" customFormat="false" ht="15" hidden="false" customHeight="false" outlineLevel="0" collapsed="false">
      <c r="A202" s="10"/>
      <c r="B202" s="11"/>
      <c r="C202" s="11"/>
      <c r="D202" s="11"/>
      <c r="E202" s="12" t="str">
        <f aca="false">IF(C202="","",IFERROR(INDEX(Packages!$B$5:$B$8,MATCH(C202,Packages!$A$5:$A$8,0)),"Check package"))</f>
        <v/>
      </c>
      <c r="F202" s="11"/>
      <c r="G202" s="11"/>
    </row>
    <row r="203" customFormat="false" ht="15" hidden="false" customHeight="false" outlineLevel="0" collapsed="false">
      <c r="A203" s="10"/>
      <c r="B203" s="11"/>
      <c r="C203" s="11"/>
      <c r="D203" s="11"/>
      <c r="E203" s="12" t="str">
        <f aca="false">IF(C203="","",IFERROR(INDEX(Packages!$B$5:$B$8,MATCH(C203,Packages!$A$5:$A$8,0)),"Check package"))</f>
        <v/>
      </c>
      <c r="F203" s="11"/>
      <c r="G203" s="11"/>
    </row>
    <row r="204" customFormat="false" ht="15" hidden="false" customHeight="false" outlineLevel="0" collapsed="false">
      <c r="A204" s="10"/>
      <c r="B204" s="11"/>
      <c r="C204" s="11"/>
      <c r="D204" s="11"/>
      <c r="E204" s="12" t="str">
        <f aca="false">IF(C204="","",IFERROR(INDEX(Packages!$B$5:$B$8,MATCH(C204,Packages!$A$5:$A$8,0)),"Check package"))</f>
        <v/>
      </c>
      <c r="F204" s="11"/>
      <c r="G204" s="11"/>
    </row>
    <row r="205" customFormat="false" ht="15" hidden="false" customHeight="false" outlineLevel="0" collapsed="false">
      <c r="A205" s="10"/>
      <c r="B205" s="11"/>
      <c r="C205" s="11"/>
      <c r="D205" s="11"/>
      <c r="E205" s="12" t="str">
        <f aca="false">IF(C205="","",IFERROR(INDEX(Packages!$B$5:$B$8,MATCH(C205,Packages!$A$5:$A$8,0)),"Check package"))</f>
        <v/>
      </c>
      <c r="F205" s="11"/>
      <c r="G205" s="11"/>
    </row>
    <row r="206" customFormat="false" ht="15" hidden="false" customHeight="false" outlineLevel="0" collapsed="false">
      <c r="A206" s="10"/>
      <c r="B206" s="11"/>
      <c r="C206" s="11"/>
      <c r="D206" s="11"/>
      <c r="E206" s="12" t="str">
        <f aca="false">IF(C206="","",IFERROR(INDEX(Packages!$B$5:$B$8,MATCH(C206,Packages!$A$5:$A$8,0)),"Check package"))</f>
        <v/>
      </c>
      <c r="F206" s="11"/>
      <c r="G206" s="11"/>
    </row>
    <row r="207" customFormat="false" ht="15" hidden="false" customHeight="false" outlineLevel="0" collapsed="false">
      <c r="A207" s="10"/>
      <c r="B207" s="11"/>
      <c r="C207" s="11"/>
      <c r="D207" s="11"/>
      <c r="E207" s="12" t="str">
        <f aca="false">IF(C207="","",IFERROR(INDEX(Packages!$B$5:$B$8,MATCH(C207,Packages!$A$5:$A$8,0)),"Check package"))</f>
        <v/>
      </c>
      <c r="F207" s="11"/>
      <c r="G207" s="11"/>
    </row>
    <row r="208" customFormat="false" ht="15" hidden="false" customHeight="false" outlineLevel="0" collapsed="false">
      <c r="A208" s="10"/>
      <c r="B208" s="11"/>
      <c r="C208" s="11"/>
      <c r="D208" s="11"/>
      <c r="E208" s="12" t="str">
        <f aca="false">IF(C208="","",IFERROR(INDEX(Packages!$B$5:$B$8,MATCH(C208,Packages!$A$5:$A$8,0)),"Check package"))</f>
        <v/>
      </c>
      <c r="F208" s="11"/>
      <c r="G208" s="11"/>
    </row>
    <row r="209" customFormat="false" ht="15" hidden="false" customHeight="false" outlineLevel="0" collapsed="false">
      <c r="A209" s="10"/>
      <c r="B209" s="11"/>
      <c r="C209" s="11"/>
      <c r="D209" s="11"/>
      <c r="E209" s="12" t="str">
        <f aca="false">IF(C209="","",IFERROR(INDEX(Packages!$B$5:$B$8,MATCH(C209,Packages!$A$5:$A$8,0)),"Check package"))</f>
        <v/>
      </c>
      <c r="F209" s="11"/>
      <c r="G209" s="11"/>
    </row>
    <row r="210" customFormat="false" ht="15" hidden="false" customHeight="false" outlineLevel="0" collapsed="false">
      <c r="A210" s="10"/>
      <c r="B210" s="11"/>
      <c r="C210" s="11"/>
      <c r="D210" s="11"/>
      <c r="E210" s="12" t="str">
        <f aca="false">IF(C210="","",IFERROR(INDEX(Packages!$B$5:$B$8,MATCH(C210,Packages!$A$5:$A$8,0)),"Check package"))</f>
        <v/>
      </c>
      <c r="F210" s="11"/>
      <c r="G210" s="11"/>
    </row>
    <row r="211" customFormat="false" ht="15" hidden="false" customHeight="false" outlineLevel="0" collapsed="false">
      <c r="A211" s="10"/>
      <c r="B211" s="11"/>
      <c r="C211" s="11"/>
      <c r="D211" s="11"/>
      <c r="E211" s="12" t="str">
        <f aca="false">IF(C211="","",IFERROR(INDEX(Packages!$B$5:$B$8,MATCH(C211,Packages!$A$5:$A$8,0)),"Check package"))</f>
        <v/>
      </c>
      <c r="F211" s="11"/>
      <c r="G211" s="11"/>
    </row>
  </sheetData>
  <dataValidations count="3">
    <dataValidation allowBlank="true" errorStyle="stop" operator="between" showDropDown="false" showErrorMessage="false" showInputMessage="false" sqref="C12:C211" type="list">
      <formula1>Packages!$A$5:$A$8</formula1>
      <formula2>0</formula2>
    </dataValidation>
    <dataValidation allowBlank="true" errorStyle="stop" operator="between" showDropDown="false" showErrorMessage="false" showInputMessage="false" sqref="F12:F211" type="list">
      <formula1>"Yes,No"</formula1>
      <formula2>0</formula2>
    </dataValidation>
    <dataValidation allowBlank="true" errorStyle="stop" operator="between" showDropDown="false" showErrorMessage="false" showInputMessage="false" sqref="D12:D211" type="list">
      <formula1>"Attachment application,Internship application,LinkedIn,CV,Club or campaign poster,Other"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</row>
    <row r="5" customFormat="false" ht="15" hidden="false" customHeight="false" outlineLevel="0" collapsed="false">
      <c r="A5" s="13" t="s">
        <v>36</v>
      </c>
      <c r="B5" s="4" t="s">
        <v>37</v>
      </c>
      <c r="C5" s="14"/>
    </row>
    <row r="6" customFormat="false" ht="15" hidden="false" customHeight="false" outlineLevel="0" collapsed="false">
      <c r="A6" s="13" t="s">
        <v>38</v>
      </c>
      <c r="B6" s="4" t="s">
        <v>39</v>
      </c>
      <c r="C6" s="14"/>
    </row>
    <row r="7" customFormat="false" ht="15" hidden="false" customHeight="false" outlineLevel="0" collapsed="false">
      <c r="A7" s="13" t="s">
        <v>40</v>
      </c>
      <c r="B7" s="4" t="s">
        <v>41</v>
      </c>
      <c r="C7" s="14"/>
    </row>
    <row r="8" customFormat="false" ht="26.85" hidden="false" customHeight="false" outlineLevel="0" collapsed="false">
      <c r="A8" s="13" t="s">
        <v>42</v>
      </c>
      <c r="B8" s="4" t="s">
        <v>43</v>
      </c>
      <c r="C8" s="14"/>
    </row>
    <row r="9" customFormat="false" ht="26.85" hidden="false" customHeight="false" outlineLevel="0" collapsed="false">
      <c r="A9" s="13" t="s">
        <v>44</v>
      </c>
      <c r="B9" s="4" t="s">
        <v>45</v>
      </c>
      <c r="C9" s="14"/>
    </row>
    <row r="10" customFormat="false" ht="15" hidden="false" customHeight="false" outlineLevel="0" collapsed="false">
      <c r="A10" s="13" t="s">
        <v>46</v>
      </c>
      <c r="B10" s="4" t="s">
        <v>47</v>
      </c>
      <c r="C10" s="14"/>
    </row>
    <row r="11" customFormat="false" ht="15" hidden="false" customHeight="false" outlineLevel="0" collapsed="false">
      <c r="A11" s="13" t="s">
        <v>48</v>
      </c>
      <c r="B11" s="4" t="s">
        <v>49</v>
      </c>
      <c r="C11" s="14"/>
    </row>
    <row r="12" customFormat="false" ht="15" hidden="false" customHeight="false" outlineLevel="0" collapsed="false">
      <c r="A12" s="13" t="s">
        <v>50</v>
      </c>
      <c r="B12" s="4" t="s">
        <v>51</v>
      </c>
      <c r="C12" s="14"/>
    </row>
    <row r="14" customFormat="false" ht="15" hidden="false" customHeight="false" outlineLevel="0" collapsed="false">
      <c r="A14" s="15" t="s">
        <v>52</v>
      </c>
      <c r="B14" s="7" t="str">
        <f aca="false">COUNTIF(C5:C12,"Yes")&amp;" of "&amp;COUNTA(A5:A12)&amp;" steps done"</f>
        <v>0 of 8 steps done</v>
      </c>
    </row>
  </sheetData>
  <dataValidations count="1">
    <dataValidation allowBlank="true" errorStyle="stop" operator="between" showDropDown="false" showErrorMessage="false" showInputMessage="false" sqref="C5:C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2026-10-10T09:54:09Z</dcterms:created>
  <dc:creator>openpyxl</dc:creator>
  <dc:description/>
  <dc:language>en-US</dc:language>
  <cp:lastModifiedBy/>
  <dcterms:modified xsi:type="dcterms:W3CDTF">2026-10-10T09:54:09Z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